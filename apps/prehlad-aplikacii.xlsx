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hľad" sheetId="1" state="visible" r:id="rId1"/>
    <sheet name="Funkcie" sheetId="2" state="visible" r:id="rId2"/>
    <sheet name="Obrazovky" sheetId="3" state="visible" r:id="rId3"/>
    <sheet name="Náklady" sheetId="4" state="visible" r:id="rId4"/>
    <sheet name="Rizik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\ &quot;€&quot;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31B1A"/>
      <sz val="15"/>
    </font>
    <font>
      <name val="Arial"/>
      <color rgb="005A6968"/>
      <sz val="9"/>
    </font>
    <font>
      <name val="Arial"/>
      <b val="1"/>
      <color rgb="00FFFFFF"/>
      <sz val="9.5"/>
    </font>
    <font>
      <name val="Arial"/>
      <color rgb="00131B1A"/>
      <sz val="10"/>
    </font>
    <font>
      <name val="Arial"/>
      <b val="1"/>
      <color rgb="00131B1A"/>
      <sz val="10"/>
    </font>
    <font>
      <name val="Consolas"/>
      <color rgb="005A6968"/>
      <sz val="9"/>
    </font>
    <font>
      <name val="Arial"/>
      <b val="1"/>
      <color rgb="001E7A46"/>
      <sz val="10"/>
    </font>
    <font>
      <name val="Arial"/>
      <b val="1"/>
      <color rgb="008A5A0B"/>
      <sz val="10"/>
    </font>
    <font>
      <name val="Arial"/>
      <b val="1"/>
      <color rgb="005A6968"/>
      <sz val="10"/>
    </font>
    <font>
      <name val="Arial"/>
      <b val="1"/>
      <color rgb="0003797E"/>
      <sz val="11"/>
    </font>
    <font>
      <name val="Arial"/>
      <b val="1"/>
      <color rgb="00A32A22"/>
      <sz val="10"/>
    </font>
    <font>
      <name val="Arial"/>
      <b val="1"/>
      <color rgb="00131B1A"/>
      <sz val="17"/>
    </font>
    <font>
      <name val="Arial"/>
      <color rgb="0003797E"/>
      <sz val="10"/>
    </font>
  </fonts>
  <fills count="8">
    <fill>
      <patternFill/>
    </fill>
    <fill>
      <patternFill patternType="gray125"/>
    </fill>
    <fill>
      <patternFill patternType="solid">
        <fgColor rgb="000E1413"/>
      </patternFill>
    </fill>
    <fill>
      <patternFill patternType="solid">
        <fgColor rgb="00E4F6EC"/>
      </patternFill>
    </fill>
    <fill>
      <patternFill patternType="solid">
        <fgColor rgb="00FDF1DC"/>
      </patternFill>
    </fill>
    <fill>
      <patternFill patternType="solid">
        <fgColor rgb="00F1EEF1"/>
      </patternFill>
    </fill>
    <fill>
      <patternFill patternType="solid">
        <fgColor rgb="00E3F4F4"/>
      </patternFill>
    </fill>
    <fill>
      <patternFill patternType="solid">
        <fgColor rgb="00FBE7E5"/>
      </patternFill>
    </fill>
  </fills>
  <borders count="6">
    <border>
      <left/>
      <right/>
      <top/>
      <bottom/>
      <diagonal/>
    </border>
    <border>
      <left style="thin">
        <color rgb="00DED5DC"/>
      </left>
      <right style="thin">
        <color rgb="00DED5DC"/>
      </right>
      <top style="thin">
        <color rgb="00DED5DC"/>
      </top>
      <bottom style="thin">
        <color rgb="00DED5DC"/>
      </bottom>
    </border>
    <border>
      <left/>
      <right/>
      <top style="thin">
        <color rgb="00DED5DC"/>
      </top>
      <bottom/>
      <diagonal/>
    </border>
    <border>
      <left/>
      <right style="thin">
        <color rgb="00DED5DC"/>
      </right>
      <top style="thin">
        <color rgb="00DED5DC"/>
      </top>
      <bottom/>
      <diagonal/>
    </border>
    <border>
      <left/>
      <right/>
      <top style="thin">
        <color rgb="00DED5DC"/>
      </top>
      <bottom style="thin">
        <color rgb="00DED5DC"/>
      </bottom>
      <diagonal/>
    </border>
    <border>
      <left/>
      <right style="thin">
        <color rgb="00DED5DC"/>
      </right>
      <top style="thin">
        <color rgb="00DED5DC"/>
      </top>
      <bottom style="thin">
        <color rgb="00DED5D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center" vertical="top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" fillId="0" borderId="0" pivotButton="0" quotePrefix="0" xfId="0"/>
    <xf numFmtId="0" fontId="5" fillId="6" borderId="1" pivotButton="0" quotePrefix="0" xfId="0"/>
    <xf numFmtId="164" fontId="4" fillId="0" borderId="1" applyAlignment="1" pivotButton="0" quotePrefix="0" xfId="0">
      <alignment horizontal="right" vertical="top"/>
    </xf>
    <xf numFmtId="164" fontId="5" fillId="6" borderId="1" applyAlignment="1" pivotButton="0" quotePrefix="0" xfId="0">
      <alignment horizontal="right" vertical="top"/>
    </xf>
    <xf numFmtId="3" fontId="5" fillId="6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Funkcie" displayName="Funkcie" ref="A4:G65" headerRowCount="1">
  <autoFilter ref="A4:G65"/>
  <tableColumns count="7">
    <tableColumn id="1" name="Modul"/>
    <tableColumn id="2" name="Reálna appka"/>
    <tableColumn id="3" name="Funkcia"/>
    <tableColumn id="4" name="Kategória"/>
    <tableColumn id="5" name="Platí pre"/>
    <tableColumn id="6" name="Zdroj"/>
    <tableColumn id="7" name="Overenie"/>
  </tableColumns>
  <tableStyleInfo name="TableStyleLight8" showRowStripes="1" showColumnStripes="0"/>
</table>
</file>

<file path=xl/tables/table2.xml><?xml version="1.0" encoding="utf-8"?>
<table xmlns="http://schemas.openxmlformats.org/spreadsheetml/2006/main" id="2" name="Obrazovky" displayName="Obrazovky" ref="A4:F58" headerRowCount="1">
  <autoFilter ref="A4:F58"/>
  <tableColumns count="6">
    <tableColumn id="1" name="Modul"/>
    <tableColumn id="2" name="Reálna appka"/>
    <tableColumn id="3" name="#"/>
    <tableColumn id="4" name="Routa"/>
    <tableColumn id="5" name="Obrazovka"/>
    <tableColumn id="6" name="Typ / obsah"/>
  </tableColumns>
  <tableStyleInfo name="TableStyleLight8" showRowStripes="1" showColumnStripes="0"/>
</table>
</file>

<file path=xl/tables/table3.xml><?xml version="1.0" encoding="utf-8"?>
<table xmlns="http://schemas.openxmlformats.org/spreadsheetml/2006/main" id="3" name="Rizika" displayName="Rizika" ref="A4:G20" headerRowCount="1">
  <autoFilter ref="A4:G20"/>
  <tableColumns count="7">
    <tableColumn id="1" name="Modul"/>
    <tableColumn id="2" name="Riziko / otvorený bod"/>
    <tableColumn id="3" name="Dopad"/>
    <tableColumn id="4" name="Závažnosť"/>
    <tableColumn id="5" name="Stav"/>
    <tableColumn id="6" name="Kontext a zmiernenie"/>
    <tableColumn id="7" name="Zdroj"/>
  </tableColumns>
  <tableStyleInfo name="TableStyleLight8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03797E"/>
    <outlinePr summaryBelow="1" summaryRight="1"/>
    <pageSetUpPr/>
  </sheetPr>
  <dimension ref="A1:Q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6" customWidth="1" min="3" max="3"/>
    <col width="20" customWidth="1" min="4" max="4"/>
    <col width="17" customWidth="1" min="5" max="5"/>
    <col width="20" customWidth="1" min="6" max="6"/>
    <col width="20" customWidth="1" min="7" max="7"/>
    <col width="60" customWidth="1" min="8" max="8"/>
    <col width="34" customWidth="1" min="9" max="9"/>
    <col width="40" customWidth="1" min="10" max="10"/>
    <col width="40" customWidth="1" min="11" max="11"/>
    <col width="30" customWidth="1" min="12" max="12"/>
    <col width="20" customWidth="1" min="13" max="13"/>
    <col width="34" customWidth="1" min="14" max="14"/>
    <col width="10" customWidth="1" min="15" max="15"/>
    <col width="12" customWidth="1" min="16" max="16"/>
    <col width="9" customWidth="1" min="17" max="17"/>
  </cols>
  <sheetData>
    <row r="1" ht="24" customHeight="1">
      <c r="A1" s="1" t="inlineStr">
        <is>
          <t>Prehľad aplikácií Aura Suite</t>
        </is>
      </c>
    </row>
    <row r="2">
      <c r="A2" s="2" t="inlineStr">
        <is>
          <t>Koľko aplikácií máme, čo každá robí a v akom stave je · stav k 4. 8. 2026</t>
        </is>
      </c>
    </row>
    <row r="3">
      <c r="A3" s="3" t="inlineStr">
        <is>
          <t>Aura Suite — 6 modulov podľa reálnych aplikácií rodiny Aura</t>
        </is>
      </c>
    </row>
    <row r="5">
      <c r="A5" s="4" t="inlineStr">
        <is>
          <t>Súhrn</t>
        </is>
      </c>
    </row>
    <row r="6" ht="30" customHeight="1">
      <c r="A6" s="5" t="inlineStr">
        <is>
          <t>Ukazovateľ</t>
        </is>
      </c>
      <c r="B6" s="5" t="inlineStr">
        <is>
          <t>Hodnota</t>
        </is>
      </c>
      <c r="C6" s="5" t="inlineStr">
        <is>
          <t>Ako sa počíta</t>
        </is>
      </c>
      <c r="D6" s="5" t="inlineStr">
        <is>
          <t>Kontrola</t>
        </is>
      </c>
    </row>
    <row r="7">
      <c r="A7" s="6" t="inlineStr">
        <is>
          <t>Aplikácií / modulov</t>
        </is>
      </c>
      <c r="B7" s="7">
        <f>COUNTA(A20:A25)</f>
        <v/>
      </c>
      <c r="C7" s="8" t="inlineStr">
        <is>
          <t>riadky v tabuľke Moduly nižšie</t>
        </is>
      </c>
      <c r="D7" s="9" t="n">
        <v>6</v>
      </c>
    </row>
    <row r="8">
      <c r="A8" s="6" t="inlineStr">
        <is>
          <t>Funkcií spolu</t>
        </is>
      </c>
      <c r="B8" s="7">
        <f>COUNTA(Funkcie!C5:C65)</f>
        <v/>
      </c>
      <c r="C8" s="8" t="inlineStr">
        <is>
          <t>list Funkcie</t>
        </is>
      </c>
      <c r="D8" s="9" t="n">
        <v>61</v>
      </c>
    </row>
    <row r="9">
      <c r="A9" s="6" t="inlineStr">
        <is>
          <t>— z toho overených</t>
        </is>
      </c>
      <c r="B9" s="7">
        <f>COUNTIF(Funkcie!G5:G65,"overené")</f>
        <v/>
      </c>
      <c r="C9" s="8" t="inlineStr">
        <is>
          <t>Funkcie · Overenie = "overené"</t>
        </is>
      </c>
      <c r="D9" s="9" t="n">
        <v>44</v>
      </c>
    </row>
    <row r="10">
      <c r="A10" s="6" t="inlineStr">
        <is>
          <t>— rekonštruovaných</t>
        </is>
      </c>
      <c r="B10" s="7">
        <f>COUNTIF(Funkcie!G5:G65,"rekonštruované")</f>
        <v/>
      </c>
      <c r="C10" s="8" t="inlineStr">
        <is>
          <t>Funkcie · Overenie = "rekonštruované"</t>
        </is>
      </c>
      <c r="D10" s="9" t="n">
        <v>13</v>
      </c>
    </row>
    <row r="11">
      <c r="A11" s="6" t="inlineStr">
        <is>
          <t>— ukážkových</t>
        </is>
      </c>
      <c r="B11" s="7">
        <f>COUNTIF(Funkcie!G5:G65,"ukážkové")</f>
        <v/>
      </c>
      <c r="C11" s="8" t="inlineStr">
        <is>
          <t>Funkcie · Overenie = "ukážkové"</t>
        </is>
      </c>
      <c r="D11" s="9" t="n">
        <v>4</v>
      </c>
    </row>
    <row r="12">
      <c r="A12" s="6" t="inlineStr">
        <is>
          <t>Obrazoviek spolu</t>
        </is>
      </c>
      <c r="B12" s="7">
        <f>COUNTA(Obrazovky!E5:E58)</f>
        <v/>
      </c>
      <c r="C12" s="8" t="inlineStr">
        <is>
          <t>list Obrazovky</t>
        </is>
      </c>
      <c r="D12" s="9" t="n">
        <v>54</v>
      </c>
    </row>
    <row r="13">
      <c r="A13" s="6" t="inlineStr">
        <is>
          <t>Rizík spolu</t>
        </is>
      </c>
      <c r="B13" s="7">
        <f>COUNTA(Riziká!B5:B20)</f>
        <v/>
      </c>
      <c r="C13" s="8" t="inlineStr">
        <is>
          <t>list Riziká</t>
        </is>
      </c>
      <c r="D13" s="9" t="n">
        <v>16</v>
      </c>
    </row>
    <row r="14">
      <c r="A14" s="6" t="inlineStr">
        <is>
          <t>— s vysokou závažnosťou</t>
        </is>
      </c>
      <c r="B14" s="7">
        <f>COUNTIF(Riziká!D5:D20,"vysoké")</f>
        <v/>
      </c>
      <c r="C14" s="8" t="inlineStr">
        <is>
          <t>Riziká · Závažnosť = "vysoké"</t>
        </is>
      </c>
      <c r="D14" s="9" t="n">
        <v>4</v>
      </c>
    </row>
    <row r="15">
      <c r="A15" s="6" t="inlineStr">
        <is>
          <t>Externé SaaS — € / mes.</t>
        </is>
      </c>
      <c r="B15" s="10">
        <f>SUM(Náklady!D6:D13)</f>
        <v/>
      </c>
      <c r="C15" s="8" t="inlineStr">
        <is>
          <t>list Náklady</t>
        </is>
      </c>
      <c r="D15" s="9" t="n">
        <v>1240</v>
      </c>
    </row>
    <row r="16">
      <c r="A16" s="6" t="inlineStr">
        <is>
          <t>— potenciál úspory</t>
        </is>
      </c>
      <c r="B16" s="10">
        <f>SUMIF(Náklady!F6:F13,"nevyužitá",Náklady!D6:D13)</f>
        <v/>
      </c>
      <c r="C16" s="8" t="inlineStr">
        <is>
          <t>aplikácie označené ako nevyužité</t>
        </is>
      </c>
      <c r="D16" s="9" t="n">
        <v>160</v>
      </c>
    </row>
    <row r="18">
      <c r="A18" s="4" t="inlineStr">
        <is>
          <t>Moduly</t>
        </is>
      </c>
    </row>
    <row r="19" ht="30" customHeight="1">
      <c r="A19" s="5" t="inlineStr">
        <is>
          <t>Modul</t>
        </is>
      </c>
      <c r="B19" s="5" t="inlineStr">
        <is>
          <t>Účel</t>
        </is>
      </c>
      <c r="C19" s="5" t="inlineStr">
        <is>
          <t>Reálna appka</t>
        </is>
      </c>
      <c r="D19" s="5" t="inlineStr">
        <is>
          <t>Port / URL</t>
        </is>
      </c>
      <c r="E19" s="5" t="inlineStr">
        <is>
          <t>Stav</t>
        </is>
      </c>
      <c r="F19" s="5" t="inlineStr">
        <is>
          <t>Hub /api/summary</t>
        </is>
      </c>
      <c r="G19" s="5" t="inlineStr">
        <is>
          <t>Vetva</t>
        </is>
      </c>
      <c r="H19" s="5" t="inlineStr">
        <is>
          <t>Stack</t>
        </is>
      </c>
      <c r="I19" s="5" t="inlineStr">
        <is>
          <t>Testy</t>
        </is>
      </c>
      <c r="J19" s="5" t="inlineStr">
        <is>
          <t>Git</t>
        </is>
      </c>
      <c r="K19" s="5" t="inlineStr">
        <is>
          <t>Veľkosť</t>
        </is>
      </c>
      <c r="L19" s="5" t="inlineStr">
        <is>
          <t>Kontajnery</t>
        </is>
      </c>
      <c r="M19" s="5" t="inlineStr">
        <is>
          <t>Vlastník</t>
        </is>
      </c>
      <c r="N19" s="5" t="inlineStr">
        <is>
          <t>Náklady</t>
        </is>
      </c>
      <c r="O19" s="5" t="inlineStr">
        <is>
          <t>Funkcií</t>
        </is>
      </c>
      <c r="P19" s="5" t="inlineStr">
        <is>
          <t>Obrazoviek</t>
        </is>
      </c>
      <c r="Q19" s="5" t="inlineStr">
        <is>
          <t>Rizík</t>
        </is>
      </c>
    </row>
    <row r="20">
      <c r="A20" s="6" t="inlineStr">
        <is>
          <t>Aura Marketing</t>
        </is>
      </c>
      <c r="B20" s="8" t="inlineStr">
        <is>
          <t>Marketingový kokpit: ads hierarchia s ROAS pásmami a AI banner štúdio s campaign lockom.</t>
        </is>
      </c>
      <c r="C20" s="8" t="inlineStr">
        <is>
          <t>sperky-ai (aura-web) + Aura Banner Studio</t>
        </is>
      </c>
      <c r="D20" s="11" t="inlineStr">
        <is>
          <t>3000 · 8091</t>
        </is>
      </c>
      <c r="E20" s="12" t="inlineStr">
        <is>
          <t>V prevádzke</t>
        </is>
      </c>
      <c r="F20" s="8" t="inlineStr">
        <is>
          <t>Chýba</t>
        </is>
      </c>
      <c r="G20" s="8" t="inlineStr">
        <is>
          <t>B (sperky-ai) + A (Banner Studio)</t>
        </is>
      </c>
      <c r="H20" s="8" t="inlineStr">
        <is>
          <t>sperky-ai: Next.js 16 + React 19 + TS, argon2id + jose + zod, defineRoute() pipeline, non-root kontajner, 43 numerovaných migrácií s _migrations ledgerom. Banner Studio: Node 20 + Express 4 + MariaDB 11.4 + vanilla SPA + JWT, Playwright/Chromium render, obrázky na volume.</t>
        </is>
      </c>
      <c r="I20" s="8" t="inlineStr">
        <is>
          <t>sperky-ai: 105 vitest + 3 Playwright. Banner Studio: 0 testov.</t>
        </is>
      </c>
      <c r="J20" s="8" t="inlineStr">
        <is>
          <t>sperky-ai: repo aura-web (4 worktree). Banner Studio: bez GitHub remote — gh nie je v prostredí.</t>
        </is>
      </c>
      <c r="K20" s="8" t="inlineStr">
        <is>
          <t>sperky-ai globals.css 1 172 r. / 719 súborov · ~233 000 riadkov kódu</t>
        </is>
      </c>
      <c r="L20" s="8" t="inlineStr">
        <is>
          <t>sperky-ai-app-1 · bannery-app / bannery-db / bannery-ngrok</t>
        </is>
      </c>
      <c r="M20" s="8" t="inlineStr">
        <is>
          <t>Gabika (Banner Studio) · Marketing: Gabika, Ema</t>
        </is>
      </c>
      <c r="N20" s="8" t="inlineStr">
        <is>
          <t>AI budget strop 300 € / mes. (provider default mock → reálne čerpanie 0 €)</t>
        </is>
      </c>
      <c r="O20" s="13">
        <f>COUNTIF(Funkcie!A5:A65,A20)</f>
        <v/>
      </c>
      <c r="P20" s="13">
        <f>COUNTIF(Obrazovky!A5:A58,A20)</f>
        <v/>
      </c>
      <c r="Q20" s="13">
        <f>COUNTIF(Riziká!A5:A20,"Marketing")</f>
        <v/>
      </c>
    </row>
    <row r="21">
      <c r="A21" s="6" t="inlineStr">
        <is>
          <t>Aura KPI</t>
        </is>
      </c>
      <c r="B21" s="8" t="inlineStr">
        <is>
          <t>Mesačné a ročné KPI 12 oddelení s pásmami, uzávierkou a Team score.</t>
        </is>
      </c>
      <c r="C21" s="8" t="inlineStr">
        <is>
          <t>aura-kpi (C:\Aura\aura-kpi)</t>
        </is>
      </c>
      <c r="D21" s="11" t="inlineStr">
        <is>
          <t>3030</t>
        </is>
      </c>
      <c r="E21" s="12" t="inlineStr">
        <is>
          <t>MVP v prevádzke</t>
        </is>
      </c>
      <c r="F21" s="8" t="inlineStr">
        <is>
          <t>Hotové (8003483)</t>
        </is>
      </c>
      <c r="G21" s="8" t="inlineStr">
        <is>
          <t>A (vanilla SPA)</t>
        </is>
      </c>
      <c r="H21" s="8" t="inlineStr">
        <is>
          <t>Node 20 + Express 4 + MariaDB 11.4 + vanilla SPA + JWT, bez build stepu, window.registerView() SPA kit</t>
        </is>
      </c>
      <c r="I21" s="8" t="inlineStr">
        <is>
          <t>0 testov (vetva A) — overené end-to-end ručne v Dockeri 23. 7. 2026</t>
        </is>
      </c>
      <c r="J21" s="8" t="inlineStr">
        <is>
          <t>lokálny git, 8 commitov A0–A7, bez remote</t>
        </is>
      </c>
      <c r="K21" s="8" t="inlineStr">
        <is>
          <t>styles.css 652 r. · 12 oddelení · 16 metrík · 38 vstupov · 48 pásiem · 22 nových tabuliek</t>
        </is>
      </c>
      <c r="L21" s="8" t="inlineStr">
        <is>
          <t>aura-kpi-app : 3030 · aura-kpi-db (mariadb 11.4)</t>
        </is>
      </c>
      <c r="M21" s="8" t="inlineStr">
        <is>
          <t>Ema</t>
        </is>
      </c>
      <c r="N21" s="8" t="inlineStr">
        <is>
          <t>bez licenčného nákladu (vlastná appka, vlastný hardware)</t>
        </is>
      </c>
      <c r="O21" s="13">
        <f>COUNTIF(Funkcie!A5:A65,A21)</f>
        <v/>
      </c>
      <c r="P21" s="13">
        <f>COUNTIF(Obrazovky!A5:A58,A21)</f>
        <v/>
      </c>
      <c r="Q21" s="13">
        <f>COUNTIF(Riziká!A5:A20,"KPI")</f>
        <v/>
      </c>
    </row>
    <row r="22">
      <c r="A22" s="6" t="inlineStr">
        <is>
          <t>Aura Logistika</t>
        </is>
      </c>
      <c r="B22" s="8" t="inlineStr">
        <is>
          <t>Týždenná evidencia zásielok a reklamácií naprieč 8 krajinami a 5 prepravcami.</t>
        </is>
      </c>
      <c r="C22" s="8" t="inlineStr">
        <is>
          <t>aura-logistika (C:\Aura\aura-logistika)</t>
        </is>
      </c>
      <c r="D22" s="11" t="inlineStr">
        <is>
          <t>3020</t>
        </is>
      </c>
      <c r="E22" s="12" t="inlineStr">
        <is>
          <t>V prevádzke</t>
        </is>
      </c>
      <c r="F22" s="8" t="inlineStr">
        <is>
          <t>Hotové (0ffec3d)</t>
        </is>
      </c>
      <c r="G22" s="8" t="inlineStr">
        <is>
          <t>A (vanilla SPA)</t>
        </is>
      </c>
      <c r="H22" s="8" t="inlineStr">
        <is>
          <t>Node 20 + Express 4 + MariaDB + vanilla SPA + JWT, bez build stepu</t>
        </is>
      </c>
      <c r="I22" s="8" t="inlineStr">
        <is>
          <t>0 testov</t>
        </is>
      </c>
      <c r="J22" s="8" t="inlineStr">
        <is>
          <t>prvý git repo dostala až 3. 8. 2026 (baseline commit 41b7165) — dovtedy bez verziovania</t>
        </is>
      </c>
      <c r="K22" s="8" t="inlineStr">
        <is>
          <t>styles.css 643 r.</t>
        </is>
      </c>
      <c r="L22" s="8" t="inlineStr">
        <is>
          <t>aura-logistika (sieť aura-logistika_aura-logistika)</t>
        </is>
      </c>
      <c r="M22" s="8" t="inlineStr">
        <is>
          <t>Daniel</t>
        </is>
      </c>
      <c r="N22" s="8" t="inlineStr">
        <is>
          <t>bez licenčného nákladu; poštovné júl 2026 ≈ 11 603 € (prevádzkový náklad dopravy)</t>
        </is>
      </c>
      <c r="O22" s="13">
        <f>COUNTIF(Funkcie!A5:A65,A22)</f>
        <v/>
      </c>
      <c r="P22" s="13">
        <f>COUNTIF(Obrazovky!A5:A58,A22)</f>
        <v/>
      </c>
      <c r="Q22" s="13">
        <f>COUNTIF(Riziká!A5:A20,"Logistika")</f>
        <v/>
      </c>
    </row>
    <row r="23">
      <c r="A23" s="6" t="inlineStr">
        <is>
          <t>Aura HR</t>
        </is>
      </c>
      <c r="B23" s="8" t="inlineStr">
        <is>
          <t>Interná evidencia: ľudia, pozície, zdieľané schránky a firemné aplikácie s nákladmi.</t>
        </is>
      </c>
      <c r="C23" s="8" t="inlineStr">
        <is>
          <t>aura-hr-mapa (interná evidencia)</t>
        </is>
      </c>
      <c r="D23" s="11" t="inlineStr">
        <is>
          <t>neuvedený v pamäti · plán hr.aura-ai.sk</t>
        </is>
      </c>
      <c r="E23" s="12" t="inlineStr">
        <is>
          <t>V prevádzke</t>
        </is>
      </c>
      <c r="F23" s="8" t="inlineStr">
        <is>
          <t>Neexistuje</t>
        </is>
      </c>
      <c r="G23" s="8" t="inlineStr">
        <is>
          <t>A (vanilla SPA) — praotec vetvy</t>
        </is>
      </c>
      <c r="H23" s="8" t="inlineStr">
        <is>
          <t>Node + Express + MariaDB + vanilla SPA + JWT; styles.css a SPA kit sa z tejto appky kopírujú do ostatných</t>
        </is>
      </c>
      <c r="I23" s="8" t="inlineStr">
        <is>
          <t>0 testov</t>
        </is>
      </c>
      <c r="J23" s="8" t="inlineStr">
        <is>
          <t>nie je v Hades zázname</t>
        </is>
      </c>
      <c r="K23" s="8" t="inlineStr">
        <is>
          <t>32 pozícií · ~90 rolových mailov · 18 zamestnancov · 8 uzlov org-stromu</t>
        </is>
      </c>
      <c r="L23" s="8" t="inlineStr">
        <is>
          <t>nie je v Hades zázname</t>
        </is>
      </c>
      <c r="M23" s="8" t="inlineStr">
        <is>
          <t>Delaja (CTO)</t>
        </is>
      </c>
      <c r="N23" s="8" t="inlineStr">
        <is>
          <t>register 8 firemných aplikácií ≈ 1 240 € / mes.</t>
        </is>
      </c>
      <c r="O23" s="13">
        <f>COUNTIF(Funkcie!A5:A65,A23)</f>
        <v/>
      </c>
      <c r="P23" s="13">
        <f>COUNTIF(Obrazovky!A5:A58,A23)</f>
        <v/>
      </c>
      <c r="Q23" s="13">
        <f>COUNTIF(Riziká!A5:A20,"HR")</f>
        <v/>
      </c>
    </row>
    <row r="24">
      <c r="A24" s="6" t="inlineStr">
        <is>
          <t>Aura Roadmap</t>
        </is>
      </c>
      <c r="B24" s="8" t="inlineStr">
        <is>
          <t>Plánovanie, evidencia pre reporting a rozhodovacia fronta.</t>
        </is>
      </c>
      <c r="C24" s="8" t="inlineStr">
        <is>
          <t>aura-roadmap (C:\Aura\aura-roadmap)</t>
        </is>
      </c>
      <c r="D24" s="11" t="inlineStr">
        <is>
          <t>3040</t>
        </is>
      </c>
      <c r="E24" s="12" t="inlineStr">
        <is>
          <t>V prevádzke</t>
        </is>
      </c>
      <c r="F24" s="8" t="inlineStr">
        <is>
          <t>Chýba (WIP)</t>
        </is>
      </c>
      <c r="G24" s="8" t="inlineStr">
        <is>
          <t>B (Next 16 + React 19)</t>
        </is>
      </c>
      <c r="H24" s="8" t="inlineStr">
        <is>
          <t>Node 22 alpine + Next.js 16 output standalone + React 19 + TS, MariaDB 11.4 s raw parametrizovaným SQL (bez ORM), numerované migrácie + _migrations ledger, argon2id + jose HS256 + app_sessions revalidované per request, defineRoute() pipeline 100 %, CSRF fail-closed, rate-limit + lockout 5/15 min → 423, CSP, non-root kontajner</t>
        </is>
      </c>
      <c r="I24" s="8" t="inlineStr">
        <is>
          <t>vitest ko-lokované + 3 Playwright e2e + axe; guard globals.css.test.ts zhodí testy pri raw hex mimo :root</t>
        </is>
      </c>
      <c r="J24" s="8" t="inlineStr">
        <is>
          <t>branch feat/aura-family-port, 10 commitov, BEZ GitHub remote (gh nie je v prostredí)</t>
        </is>
      </c>
      <c r="K24" s="8" t="inlineStr">
        <is>
          <t>globals.css 605 r. + timeline.module.css 1 820 r. · 20 tabuliek (zjednodušené z 36)</t>
        </is>
      </c>
      <c r="L24" s="8" t="inlineStr">
        <is>
          <t>aura-roadmap-app : 3040 · aura-roadmap-db (DB aura_roadmap)</t>
        </is>
      </c>
      <c r="M24" s="8" t="inlineStr">
        <is>
          <t>Daniel</t>
        </is>
      </c>
      <c r="N24" s="8" t="inlineStr">
        <is>
          <t>bez licenčného nákladu</t>
        </is>
      </c>
      <c r="O24" s="13">
        <f>COUNTIF(Funkcie!A5:A65,A24)</f>
        <v/>
      </c>
      <c r="P24" s="13">
        <f>COUNTIF(Obrazovky!A5:A58,A24)</f>
        <v/>
      </c>
      <c r="Q24" s="13">
        <f>COUNTIF(Riziká!A5:A20,"Roadmap")</f>
        <v/>
      </c>
    </row>
    <row r="25">
      <c r="A25" s="6" t="inlineStr">
        <is>
          <t>Aura Tržby</t>
        </is>
      </c>
      <c r="B25" s="8" t="inlineStr">
        <is>
          <t>E-shop report tržieb — júl 2026 (1.–27.), 5 679 objednávok.</t>
        </is>
      </c>
      <c r="C25" s="8" t="inlineStr">
        <is>
          <t>dnes statický HTML report · appka zatiaľ neexistuje</t>
        </is>
      </c>
      <c r="D25" s="11" t="inlineStr">
        <is>
          <t>plán 3060 · trzby.aura-ai.sk</t>
        </is>
      </c>
      <c r="E25" s="14" t="inlineStr">
        <is>
          <t>Appka neexistuje</t>
        </is>
      </c>
      <c r="F25" s="8" t="inlineStr">
        <is>
          <t>Neexistuje</t>
        </is>
      </c>
      <c r="G25" s="8" t="inlineStr">
        <is>
          <t>plán A (vanilla SPA)</t>
        </is>
      </c>
      <c r="H25" s="8" t="inlineStr">
        <is>
          <t>dnes samostatný HTML report (štandard Inter). Plán: vanilla SPA na porte 3060, nightly sync 03:00 zo sperky-ai /api/orders/export (vznikne až s F6)</t>
        </is>
      </c>
      <c r="I25" s="8" t="inlineStr">
        <is>
          <t>—</t>
        </is>
      </c>
      <c r="J25" s="8" t="inlineStr">
        <is>
          <t>report je súčasťou tohto repa; appka neexistuje</t>
        </is>
      </c>
      <c r="K25" s="8" t="inlineStr">
        <is>
          <t>5 679 objednávok · 27 dní · 8 KPI kariet</t>
        </is>
      </c>
      <c r="L25" s="8" t="inlineStr">
        <is>
          <t>—</t>
        </is>
      </c>
      <c r="M25" s="8" t="inlineStr">
        <is>
          <t>Delaja (CTO)</t>
        </is>
      </c>
      <c r="N25" s="8" t="inlineStr">
        <is>
          <t>bez licenčného nákladu</t>
        </is>
      </c>
      <c r="O25" s="13">
        <f>COUNTIF(Funkcie!A5:A65,A25)</f>
        <v/>
      </c>
      <c r="P25" s="13">
        <f>COUNTIF(Obrazovky!A5:A58,A25)</f>
        <v/>
      </c>
      <c r="Q25" s="13">
        <f>COUNTIF(Riziká!A5:A20,"Tržby")</f>
        <v/>
      </c>
    </row>
    <row r="26">
      <c r="A26" s="15" t="inlineStr">
        <is>
          <t>Spolu</t>
        </is>
      </c>
      <c r="B26" s="16" t="inlineStr">
        <is>
          <t>Súčet je len za 6 modulov. Naviac: spoločná vrstva (13 funkcií) v liste Funkcie, globálne obrazovky (4) v liste Obrazovky a riziká vedené ako „Spoločné" v liste Riziká.</t>
        </is>
      </c>
      <c r="O26" s="17">
        <f>SUM(O20:O25)</f>
        <v/>
      </c>
      <c r="P26" s="17">
        <f>SUM(P20:P25)</f>
        <v/>
      </c>
      <c r="Q26" s="17">
        <f>SUM(Q20:Q25)</f>
        <v/>
      </c>
    </row>
    <row r="28">
      <c r="A28" s="4" t="inlineStr">
        <is>
          <t>Legenda — stupeň overenia</t>
        </is>
      </c>
    </row>
    <row r="29">
      <c r="A29" s="12" t="inlineStr">
        <is>
          <t>overené</t>
        </is>
      </c>
      <c r="B29" s="8" t="inlineStr">
        <is>
          <t>Je to v tomto repe — dá sa otvoriť a skontrolovať (HTML mockup, README, git história).</t>
        </is>
      </c>
      <c r="C29" s="18" t="n"/>
      <c r="D29" s="18" t="n"/>
      <c r="E29" s="18" t="n"/>
      <c r="F29" s="19" t="n"/>
    </row>
    <row r="30">
      <c r="A30" s="20" t="inlineStr">
        <is>
          <t>rekonštruované</t>
        </is>
      </c>
      <c r="B30" s="8" t="inlineStr">
        <is>
          <t>Z Hades pamäte o reálnych appkách v C:\Aura. V tomto repe dôkaz nie je.</t>
        </is>
      </c>
      <c r="C30" s="18" t="n"/>
      <c r="D30" s="18" t="n"/>
      <c r="E30" s="18" t="n"/>
      <c r="F30" s="19" t="n"/>
    </row>
    <row r="31">
      <c r="A31" s="21" t="inlineStr">
        <is>
          <t>ukážkové</t>
        </is>
      </c>
      <c r="B31" s="8" t="inlineStr">
        <is>
          <t>Demo hodnota mockupu na predvedenie rozloženia — nie prevádzkový údaj.</t>
        </is>
      </c>
      <c r="C31" s="18" t="n"/>
      <c r="D31" s="18" t="n"/>
      <c r="E31" s="18" t="n"/>
      <c r="F31" s="19" t="n"/>
    </row>
    <row r="33">
      <c r="A33" s="4" t="inlineStr">
        <is>
          <t>Zdroje</t>
        </is>
      </c>
    </row>
    <row r="34" ht="26" customHeight="1">
      <c r="A34" s="15" t="inlineStr">
        <is>
          <t>repo</t>
        </is>
      </c>
      <c r="B34" s="16" t="inlineStr">
        <is>
          <t>apps/aura-apps-hub.html · apps/README.md (merge 817124f)</t>
        </is>
      </c>
    </row>
    <row r="35" ht="26" customHeight="1">
      <c r="A35" s="15" t="inlineStr">
        <is>
          <t>Hades</t>
        </is>
      </c>
      <c r="B35" s="16" t="inlineStr">
        <is>
          <t>Hades pamäť — recon rodiny appiek C:\Aura (28. 7. – 3. 8. 2026)</t>
        </is>
      </c>
    </row>
    <row r="36" ht="26" customHeight="1">
      <c r="A36" s="15" t="inlineStr">
        <is>
          <t>Poznámka</t>
        </is>
      </c>
      <c r="B36" s="16" t="inlineStr">
        <is>
          <t>Obrazovka = samostatná hash-routa. Modulové obrazovky sa počítajú vrátane intro stránky modulu; vstupné obrazovky (login, workspace, profil) a rozcestník sa počítajú zvlášť. README uvádza zaokrúhlené „45+ obrazoviek" — presný počet je nižšie v liste Obrazovky.</t>
        </is>
      </c>
    </row>
    <row r="37" ht="26" customHeight="1">
      <c r="A37" s="15" t="inlineStr">
        <is>
          <t>Prestavba</t>
        </is>
      </c>
      <c r="B37" s="16" t="inlineStr">
        <is>
          <t>node apps/build/inventory-data.mjs &gt; data.json &amp;&amp; python3 apps/build/inventory-xlsx.py data.json apps/prehlad-aplikacii.xlsx</t>
        </is>
      </c>
    </row>
  </sheetData>
  <mergeCells count="8">
    <mergeCell ref="B30:F30"/>
    <mergeCell ref="B36:H36"/>
    <mergeCell ref="B29:F29"/>
    <mergeCell ref="B35:H35"/>
    <mergeCell ref="B26:N26"/>
    <mergeCell ref="B31:F31"/>
    <mergeCell ref="B34:H34"/>
    <mergeCell ref="B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3797E"/>
    <outlinePr summaryBelow="1" summaryRight="1"/>
    <pageSetUpPr/>
  </sheetPr>
  <dimension ref="A1:G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72" customWidth="1" min="3" max="3"/>
    <col width="14" customWidth="1" min="4" max="4"/>
    <col width="24" customWidth="1" min="5" max="5"/>
    <col width="30" customWidth="1" min="6" max="6"/>
    <col width="16" customWidth="1" min="7" max="7"/>
  </cols>
  <sheetData>
    <row r="1" ht="22" customHeight="1">
      <c r="A1" s="22" t="inlineStr">
        <is>
          <t>Funkcie po moduloch</t>
        </is>
      </c>
    </row>
    <row r="2" ht="26" customHeight="1">
      <c r="A2" s="16" t="inlineStr">
        <is>
          <t>Jeden riadok = jedna funkcia. Stĺpce Zdroj a Overenie hovoria, odkiaľ údaj je a či sa dá v repe skontrolovať. Filtruj cez šípky v hlavičke.</t>
        </is>
      </c>
    </row>
    <row r="4" ht="30" customHeight="1">
      <c r="A4" s="5" t="inlineStr">
        <is>
          <t>Modul</t>
        </is>
      </c>
      <c r="B4" s="5" t="inlineStr">
        <is>
          <t>Reálna appka</t>
        </is>
      </c>
      <c r="C4" s="5" t="inlineStr">
        <is>
          <t>Funkcia</t>
        </is>
      </c>
      <c r="D4" s="5" t="inlineStr">
        <is>
          <t>Kategória</t>
        </is>
      </c>
      <c r="E4" s="5" t="inlineStr">
        <is>
          <t>Platí pre</t>
        </is>
      </c>
      <c r="F4" s="5" t="inlineStr">
        <is>
          <t>Zdroj</t>
        </is>
      </c>
      <c r="G4" s="5" t="inlineStr">
        <is>
          <t>Overenie</t>
        </is>
      </c>
    </row>
    <row r="5">
      <c r="A5" s="6" t="inlineStr">
        <is>
          <t>Aura Marketing</t>
        </is>
      </c>
      <c r="B5" s="8" t="inlineStr">
        <is>
          <t>sperky-ai (aura-web) + Aura Banner Studio</t>
        </is>
      </c>
      <c r="C5" s="8" t="inlineStr">
        <is>
          <t>Strom Platforma → Kampaň → Zostava → Reklama s rollupom a ROAS pásmami</t>
        </is>
      </c>
      <c r="D5" s="8" t="inlineStr">
        <is>
          <t>Doména</t>
        </is>
      </c>
      <c r="E5" s="8" t="inlineStr">
        <is>
          <t>Aura Marketing</t>
        </is>
      </c>
      <c r="F5" s="11" t="inlineStr">
        <is>
          <t>repo · hub</t>
        </is>
      </c>
      <c r="G5" s="12" t="inlineStr">
        <is>
          <t>overené</t>
        </is>
      </c>
    </row>
    <row r="6">
      <c r="A6" s="6" t="inlineStr">
        <is>
          <t>Aura Marketing</t>
        </is>
      </c>
      <c r="B6" s="8" t="inlineStr">
        <is>
          <t>sperky-ai (aura-web) + Aura Banner Studio</t>
        </is>
      </c>
      <c r="C6" s="8" t="inlineStr">
        <is>
          <t>Bannery 8 jazykov × 5 rozmerov, deterministický render HTML/CSS → PNG → ZIP</t>
        </is>
      </c>
      <c r="D6" s="8" t="inlineStr">
        <is>
          <t>Doména</t>
        </is>
      </c>
      <c r="E6" s="8" t="inlineStr">
        <is>
          <t>Aura Marketing</t>
        </is>
      </c>
      <c r="F6" s="11" t="inlineStr">
        <is>
          <t>repo · hub + Hades · Banner Studio</t>
        </is>
      </c>
      <c r="G6" s="12" t="inlineStr">
        <is>
          <t>overené</t>
        </is>
      </c>
    </row>
    <row r="7">
      <c r="A7" s="6" t="inlineStr">
        <is>
          <t>Aura Marketing</t>
        </is>
      </c>
      <c r="B7" s="8" t="inlineStr">
        <is>
          <t>sperky-ai (aura-web) + Aura Banner Studio</t>
        </is>
      </c>
      <c r="C7" s="8" t="inlineStr">
        <is>
          <t>Campaign lock (svet + modelka), QA gates a learning loop do znalostnej bázy</t>
        </is>
      </c>
      <c r="D7" s="8" t="inlineStr">
        <is>
          <t>Doména</t>
        </is>
      </c>
      <c r="E7" s="8" t="inlineStr">
        <is>
          <t>Aura Marketing</t>
        </is>
      </c>
      <c r="F7" s="11" t="inlineStr">
        <is>
          <t>repo · hub + Hades · Banner Studio</t>
        </is>
      </c>
      <c r="G7" s="12" t="inlineStr">
        <is>
          <t>overené</t>
        </is>
      </c>
    </row>
    <row r="8">
      <c r="A8" s="6" t="inlineStr">
        <is>
          <t>Aura Marketing</t>
        </is>
      </c>
      <c r="B8" s="8" t="inlineStr">
        <is>
          <t>sperky-ai (aura-web) + Aura Banner Studio</t>
        </is>
      </c>
      <c r="C8" s="8" t="inlineStr">
        <is>
          <t>AI provider abstrakcia mock / OpenAI GPT / Gemini 3 Pro Image, default mock + budget strop</t>
        </is>
      </c>
      <c r="D8" s="8" t="inlineStr">
        <is>
          <t>Integrácia</t>
        </is>
      </c>
      <c r="E8" s="8" t="inlineStr">
        <is>
          <t>Aura Marketing</t>
        </is>
      </c>
      <c r="F8" s="11" t="inlineStr">
        <is>
          <t>Hades · Banner Studio</t>
        </is>
      </c>
      <c r="G8" s="20" t="inlineStr">
        <is>
          <t>rekonštruované</t>
        </is>
      </c>
    </row>
    <row r="9">
      <c r="A9" s="6" t="inlineStr">
        <is>
          <t>Aura Marketing</t>
        </is>
      </c>
      <c r="B9" s="8" t="inlineStr">
        <is>
          <t>sperky-ai (aura-web) + Aura Banner Studio</t>
        </is>
      </c>
      <c r="C9" s="8" t="inlineStr">
        <is>
          <t>Ads tabuľka: 11 riadkov hierarchie s rollupom metrík a farebnými ROAS pásmami</t>
        </is>
      </c>
      <c r="D9" s="8" t="inlineStr">
        <is>
          <t>Obrazovka</t>
        </is>
      </c>
      <c r="E9" s="8" t="inlineStr">
        <is>
          <t>Aura Marketing</t>
        </is>
      </c>
      <c r="F9" s="11" t="inlineStr">
        <is>
          <t>repo · hub</t>
        </is>
      </c>
      <c r="G9" s="12" t="inlineStr">
        <is>
          <t>overené</t>
        </is>
      </c>
    </row>
    <row r="10">
      <c r="A10" s="6" t="inlineStr">
        <is>
          <t>Aura Marketing</t>
        </is>
      </c>
      <c r="B10" s="8" t="inlineStr">
        <is>
          <t>sperky-ai (aura-web) + Aura Banner Studio</t>
        </is>
      </c>
      <c r="C10" s="8" t="inlineStr">
        <is>
          <t>Galéria bannerov s filtrom podľa kampane a rozmeru</t>
        </is>
      </c>
      <c r="D10" s="8" t="inlineStr">
        <is>
          <t>Obrazovka</t>
        </is>
      </c>
      <c r="E10" s="8" t="inlineStr">
        <is>
          <t>Aura Marketing</t>
        </is>
      </c>
      <c r="F10" s="11" t="inlineStr">
        <is>
          <t>repo · hub</t>
        </is>
      </c>
      <c r="G10" s="12" t="inlineStr">
        <is>
          <t>overené</t>
        </is>
      </c>
    </row>
    <row r="11">
      <c r="A11" s="6" t="inlineStr">
        <is>
          <t>Aura Marketing</t>
        </is>
      </c>
      <c r="B11" s="8" t="inlineStr">
        <is>
          <t>sperky-ai (aura-web) + Aura Banner Studio</t>
        </is>
      </c>
      <c r="C11" s="8" t="inlineStr">
        <is>
          <t>Znalostná báza importovaná zo sperky-ai (DB aura_marketing), 3 modelky, produkty + ceny</t>
        </is>
      </c>
      <c r="D11" s="8" t="inlineStr">
        <is>
          <t>Integrácia</t>
        </is>
      </c>
      <c r="E11" s="8" t="inlineStr">
        <is>
          <t>Aura Marketing</t>
        </is>
      </c>
      <c r="F11" s="11" t="inlineStr">
        <is>
          <t>Hades · Banner Studio</t>
        </is>
      </c>
      <c r="G11" s="20" t="inlineStr">
        <is>
          <t>rekonštruované</t>
        </is>
      </c>
    </row>
    <row r="12">
      <c r="A12" s="6" t="inlineStr">
        <is>
          <t>Aura Marketing</t>
        </is>
      </c>
      <c r="B12" s="8" t="inlineStr">
        <is>
          <t>sperky-ai (aura-web) + Aura Banner Studio</t>
        </is>
      </c>
      <c r="C12" s="8" t="inlineStr">
        <is>
          <t>Nastavenia: provider, budget strop, API kľúče, rozmery a jazyky, export ZIP, learning loop</t>
        </is>
      </c>
      <c r="D12" s="8" t="inlineStr">
        <is>
          <t>Nastavenia</t>
        </is>
      </c>
      <c r="E12" s="8" t="inlineStr">
        <is>
          <t>Aura Marketing</t>
        </is>
      </c>
      <c r="F12" s="11" t="inlineStr">
        <is>
          <t>repo · hub</t>
        </is>
      </c>
      <c r="G12" s="12" t="inlineStr">
        <is>
          <t>overené</t>
        </is>
      </c>
    </row>
    <row r="13">
      <c r="A13" s="6" t="inlineStr">
        <is>
          <t>Aura KPI</t>
        </is>
      </c>
      <c r="B13" s="8" t="inlineStr">
        <is>
          <t>aura-kpi (C:\Aura\aura-kpi)</t>
        </is>
      </c>
      <c r="C13" s="8" t="inlineStr">
        <is>
          <t>Plnenie = (skutočnosť − Min) / (Max − Min), cap 100 %; farby zelená ≥100 / žltá 60–99 / červená &lt;60 / sivá</t>
        </is>
      </c>
      <c r="D13" s="8" t="inlineStr">
        <is>
          <t>Doména</t>
        </is>
      </c>
      <c r="E13" s="8" t="inlineStr">
        <is>
          <t>Aura KPI</t>
        </is>
      </c>
      <c r="F13" s="11" t="inlineStr">
        <is>
          <t>repo · hub + Hades · Aura KPI</t>
        </is>
      </c>
      <c r="G13" s="12" t="inlineStr">
        <is>
          <t>overené</t>
        </is>
      </c>
    </row>
    <row r="14">
      <c r="A14" s="6" t="inlineStr">
        <is>
          <t>Aura KPI</t>
        </is>
      </c>
      <c r="B14" s="8" t="inlineStr">
        <is>
          <t>aura-kpi (C:\Aura\aura-kpi)</t>
        </is>
      </c>
      <c r="C14" s="8" t="inlineStr">
        <is>
          <t>Team score = priemer 6 zložiek; Copywriter váhy 60/20/20; Import tolerancia 5 %; EBITDA pásmo 1–5 %</t>
        </is>
      </c>
      <c r="D14" s="8" t="inlineStr">
        <is>
          <t>Doména</t>
        </is>
      </c>
      <c r="E14" s="8" t="inlineStr">
        <is>
          <t>Aura KPI</t>
        </is>
      </c>
      <c r="F14" s="11" t="inlineStr">
        <is>
          <t>Hades · Aura KPI</t>
        </is>
      </c>
      <c r="G14" s="20" t="inlineStr">
        <is>
          <t>rekonštruované</t>
        </is>
      </c>
    </row>
    <row r="15">
      <c r="A15" s="6" t="inlineStr">
        <is>
          <t>Aura KPI</t>
        </is>
      </c>
      <c r="B15" s="8" t="inlineStr">
        <is>
          <t>aura-kpi (C:\Aura\aura-kpi)</t>
        </is>
      </c>
      <c r="C15" s="8" t="inlineStr">
        <is>
          <t>Heatmapa plnenia oddelení × mesiac, A/B porovnanie období a ročný pohľad</t>
        </is>
      </c>
      <c r="D15" s="8" t="inlineStr">
        <is>
          <t>Obrazovka</t>
        </is>
      </c>
      <c r="E15" s="8" t="inlineStr">
        <is>
          <t>Aura KPI</t>
        </is>
      </c>
      <c r="F15" s="11" t="inlineStr">
        <is>
          <t>repo · hub</t>
        </is>
      </c>
      <c r="G15" s="12" t="inlineStr">
        <is>
          <t>overené</t>
        </is>
      </c>
    </row>
    <row r="16">
      <c r="A16" s="6" t="inlineStr">
        <is>
          <t>Aura KPI</t>
        </is>
      </c>
      <c r="B16" s="8" t="inlineStr">
        <is>
          <t>aura-kpi (C:\Aura\aura-kpi)</t>
        </is>
      </c>
      <c r="C16" s="8" t="inlineStr">
        <is>
          <t>Uzávierka do 10. dňa; monthPill (Otvorený / Po termíne / Uzavretý) + fillPill (Nevyplnené / Rozpracované / Kompletné)</t>
        </is>
      </c>
      <c r="D16" s="8" t="inlineStr">
        <is>
          <t>Proces</t>
        </is>
      </c>
      <c r="E16" s="8" t="inlineStr">
        <is>
          <t>Aura KPI</t>
        </is>
      </c>
      <c r="F16" s="11" t="inlineStr">
        <is>
          <t>repo · hub + Hades · Aura KPI</t>
        </is>
      </c>
      <c r="G16" s="12" t="inlineStr">
        <is>
          <t>overené</t>
        </is>
      </c>
    </row>
    <row r="17">
      <c r="A17" s="6" t="inlineStr">
        <is>
          <t>Aura KPI</t>
        </is>
      </c>
      <c r="B17" s="8" t="inlineStr">
        <is>
          <t>aura-kpi (C:\Aura\aura-kpi)</t>
        </is>
      </c>
      <c r="C17" s="8" t="inlineStr">
        <is>
          <t>Modul „Na doplnenie" — čo ktoré oddelenie ešte nevyplnilo, s termínom</t>
        </is>
      </c>
      <c r="D17" s="8" t="inlineStr">
        <is>
          <t>Obrazovka</t>
        </is>
      </c>
      <c r="E17" s="8" t="inlineStr">
        <is>
          <t>Aura KPI</t>
        </is>
      </c>
      <c r="F17" s="11" t="inlineStr">
        <is>
          <t>repo · hub</t>
        </is>
      </c>
      <c r="G17" s="12" t="inlineStr">
        <is>
          <t>overené</t>
        </is>
      </c>
    </row>
    <row r="18">
      <c r="A18" s="6" t="inlineStr">
        <is>
          <t>Aura KPI</t>
        </is>
      </c>
      <c r="B18" s="8" t="inlineStr">
        <is>
          <t>aura-kpi (C:\Aura\aura-kpi)</t>
        </is>
      </c>
      <c r="C18" s="8" t="inlineStr">
        <is>
          <t>SEO porada — 72 otázok ako samostatný modul</t>
        </is>
      </c>
      <c r="D18" s="8" t="inlineStr">
        <is>
          <t>Obrazovka</t>
        </is>
      </c>
      <c r="E18" s="8" t="inlineStr">
        <is>
          <t>Aura KPI</t>
        </is>
      </c>
      <c r="F18" s="11" t="inlineStr">
        <is>
          <t>repo · hub + Hades · Aura KPI</t>
        </is>
      </c>
      <c r="G18" s="12" t="inlineStr">
        <is>
          <t>overené</t>
        </is>
      </c>
    </row>
    <row r="19">
      <c r="A19" s="6" t="inlineStr">
        <is>
          <t>Aura KPI</t>
        </is>
      </c>
      <c r="B19" s="8" t="inlineStr">
        <is>
          <t>aura-kpi (C:\Aura\aura-kpi)</t>
        </is>
      </c>
      <c r="C19" s="8" t="inlineStr">
        <is>
          <t>Integrácie Logistika + SEO (read-only, graceful fallback), denníky projekty / sklad / externistky</t>
        </is>
      </c>
      <c r="D19" s="8" t="inlineStr">
        <is>
          <t>Integrácia</t>
        </is>
      </c>
      <c r="E19" s="8" t="inlineStr">
        <is>
          <t>Aura KPI</t>
        </is>
      </c>
      <c r="F19" s="11" t="inlineStr">
        <is>
          <t>Hades · Aura KPI</t>
        </is>
      </c>
      <c r="G19" s="20" t="inlineStr">
        <is>
          <t>rekonštruované</t>
        </is>
      </c>
    </row>
    <row r="20">
      <c r="A20" s="6" t="inlineStr">
        <is>
          <t>Aura KPI</t>
        </is>
      </c>
      <c r="B20" s="8" t="inlineStr">
        <is>
          <t>aura-kpi (C:\Aura\aura-kpi)</t>
        </is>
      </c>
      <c r="C20" s="8" t="inlineStr">
        <is>
          <t>Roly Admin / Editor / Prehliadač, menné účty M:N na oddelenia, Hospodársky len Admin + manažment</t>
        </is>
      </c>
      <c r="D20" s="8" t="inlineStr">
        <is>
          <t>Bezpečnosť</t>
        </is>
      </c>
      <c r="E20" s="8" t="inlineStr">
        <is>
          <t>Aura KPI</t>
        </is>
      </c>
      <c r="F20" s="11" t="inlineStr">
        <is>
          <t>Hades · Aura KPI</t>
        </is>
      </c>
      <c r="G20" s="20" t="inlineStr">
        <is>
          <t>rekonštruované</t>
        </is>
      </c>
    </row>
    <row r="21">
      <c r="A21" s="6" t="inlineStr">
        <is>
          <t>Aura KPI</t>
        </is>
      </c>
      <c r="B21" s="8" t="inlineStr">
        <is>
          <t>aura-kpi (C:\Aura\aura-kpi)</t>
        </is>
      </c>
      <c r="C21" s="8" t="inlineStr">
        <is>
          <t>XLSX export, polročný a ročný report, audit log, zálohovací skript, SK/EN, dark mode</t>
        </is>
      </c>
      <c r="D21" s="8" t="inlineStr">
        <is>
          <t>Dáta</t>
        </is>
      </c>
      <c r="E21" s="8" t="inlineStr">
        <is>
          <t>Aura KPI</t>
        </is>
      </c>
      <c r="F21" s="11" t="inlineStr">
        <is>
          <t>Hades · Aura KPI</t>
        </is>
      </c>
      <c r="G21" s="20" t="inlineStr">
        <is>
          <t>rekonštruované</t>
        </is>
      </c>
    </row>
    <row r="22">
      <c r="A22" s="6" t="inlineStr">
        <is>
          <t>Aura Logistika</t>
        </is>
      </c>
      <c r="B22" s="8" t="inlineStr">
        <is>
          <t>aura-logistika (C:\Aura\aura-logistika)</t>
        </is>
      </c>
      <c r="C22" s="8" t="inlineStr">
        <is>
          <t>Súhrny za ISO-týždeň × krajina (8) × prepravca (5) s upsertom a auditom</t>
        </is>
      </c>
      <c r="D22" s="8" t="inlineStr">
        <is>
          <t>Doména</t>
        </is>
      </c>
      <c r="E22" s="8" t="inlineStr">
        <is>
          <t>Aura Logistika</t>
        </is>
      </c>
      <c r="F22" s="11" t="inlineStr">
        <is>
          <t>repo · hub</t>
        </is>
      </c>
      <c r="G22" s="12" t="inlineStr">
        <is>
          <t>overené</t>
        </is>
      </c>
    </row>
    <row r="23">
      <c r="A23" s="6" t="inlineStr">
        <is>
          <t>Aura Logistika</t>
        </is>
      </c>
      <c r="B23" s="8" t="inlineStr">
        <is>
          <t>aura-logistika (C:\Aura\aura-logistika)</t>
        </is>
      </c>
      <c r="C23" s="8" t="inlineStr">
        <is>
          <t>Stavy zásielok: odoslané / doručené / na ceste / vrátené / stratené / výdajňa</t>
        </is>
      </c>
      <c r="D23" s="8" t="inlineStr">
        <is>
          <t>Doména</t>
        </is>
      </c>
      <c r="E23" s="8" t="inlineStr">
        <is>
          <t>Aura Logistika</t>
        </is>
      </c>
      <c r="F23" s="11" t="inlineStr">
        <is>
          <t>repo · hub</t>
        </is>
      </c>
      <c r="G23" s="12" t="inlineStr">
        <is>
          <t>overené</t>
        </is>
      </c>
    </row>
    <row r="24">
      <c r="A24" s="6" t="inlineStr">
        <is>
          <t>Aura Logistika</t>
        </is>
      </c>
      <c r="B24" s="8" t="inlineStr">
        <is>
          <t>aura-logistika (C:\Aura\aura-logistika)</t>
        </is>
      </c>
      <c r="C24" s="8" t="inlineStr">
        <is>
          <t>Reklamačné prípady so životným cyklom zahájené → vyriešené, ∅ a medián času riešenia</t>
        </is>
      </c>
      <c r="D24" s="8" t="inlineStr">
        <is>
          <t>Doména</t>
        </is>
      </c>
      <c r="E24" s="8" t="inlineStr">
        <is>
          <t>Aura Logistika</t>
        </is>
      </c>
      <c r="F24" s="11" t="inlineStr">
        <is>
          <t>repo · hub</t>
        </is>
      </c>
      <c r="G24" s="12" t="inlineStr">
        <is>
          <t>overené</t>
        </is>
      </c>
    </row>
    <row r="25">
      <c r="A25" s="6" t="inlineStr">
        <is>
          <t>Aura Logistika</t>
        </is>
      </c>
      <c r="B25" s="8" t="inlineStr">
        <is>
          <t>aura-logistika (C:\Aura\aura-logistika)</t>
        </is>
      </c>
      <c r="C25" s="8" t="inlineStr">
        <is>
          <t>CSV import a XLSX export + tlačová verzia pre týždennú poradu</t>
        </is>
      </c>
      <c r="D25" s="8" t="inlineStr">
        <is>
          <t>Dáta</t>
        </is>
      </c>
      <c r="E25" s="8" t="inlineStr">
        <is>
          <t>Aura Logistika</t>
        </is>
      </c>
      <c r="F25" s="11" t="inlineStr">
        <is>
          <t>repo · hub</t>
        </is>
      </c>
      <c r="G25" s="12" t="inlineStr">
        <is>
          <t>overené</t>
        </is>
      </c>
    </row>
    <row r="26">
      <c r="A26" s="6" t="inlineStr">
        <is>
          <t>Aura Logistika</t>
        </is>
      </c>
      <c r="B26" s="8" t="inlineStr">
        <is>
          <t>aura-logistika (C:\Aura\aura-logistika)</t>
        </is>
      </c>
      <c r="C26" s="8" t="inlineStr">
        <is>
          <t>SVG grafy vývoja doručenosti s kĺzavým priemerom</t>
        </is>
      </c>
      <c r="D26" s="8" t="inlineStr">
        <is>
          <t>Obrazovka</t>
        </is>
      </c>
      <c r="E26" s="8" t="inlineStr">
        <is>
          <t>Aura Logistika</t>
        </is>
      </c>
      <c r="F26" s="11" t="inlineStr">
        <is>
          <t>repo · hub</t>
        </is>
      </c>
      <c r="G26" s="12" t="inlineStr">
        <is>
          <t>overené</t>
        </is>
      </c>
    </row>
    <row r="27">
      <c r="A27" s="6" t="inlineStr">
        <is>
          <t>Aura Logistika</t>
        </is>
      </c>
      <c r="B27" s="8" t="inlineStr">
        <is>
          <t>aura-logistika (C:\Aura\aura-logistika)</t>
        </is>
      </c>
      <c r="C27" s="8" t="inlineStr">
        <is>
          <t>Alert na zmluvné minimum prepravcu (scenár GLS)</t>
        </is>
      </c>
      <c r="D27" s="8" t="inlineStr">
        <is>
          <t>Stavy a alerty</t>
        </is>
      </c>
      <c r="E27" s="8" t="inlineStr">
        <is>
          <t>Aura Logistika</t>
        </is>
      </c>
      <c r="F27" s="11" t="inlineStr">
        <is>
          <t>repo · hub</t>
        </is>
      </c>
      <c r="G27" s="21" t="inlineStr">
        <is>
          <t>ukážkové</t>
        </is>
      </c>
    </row>
    <row r="28">
      <c r="A28" s="6" t="inlineStr">
        <is>
          <t>Aura Logistika</t>
        </is>
      </c>
      <c r="B28" s="8" t="inlineStr">
        <is>
          <t>aura-logistika (C:\Aura\aura-logistika)</t>
        </is>
      </c>
      <c r="C28" s="8" t="inlineStr">
        <is>
          <t>Endpoint /api/summary pre Aura Hub — živé dáta na rozcestníku</t>
        </is>
      </c>
      <c r="D28" s="8" t="inlineStr">
        <is>
          <t>Integrácia</t>
        </is>
      </c>
      <c r="E28" s="8" t="inlineStr">
        <is>
          <t>Aura Logistika</t>
        </is>
      </c>
      <c r="F28" s="11" t="inlineStr">
        <is>
          <t>Hades · Aura Hub</t>
        </is>
      </c>
      <c r="G28" s="20" t="inlineStr">
        <is>
          <t>rekonštruované</t>
        </is>
      </c>
    </row>
    <row r="29">
      <c r="A29" s="6" t="inlineStr">
        <is>
          <t>Aura Logistika</t>
        </is>
      </c>
      <c r="B29" s="8" t="inlineStr">
        <is>
          <t>aura-logistika (C:\Aura\aura-logistika)</t>
        </is>
      </c>
      <c r="C29" s="8" t="inlineStr">
        <is>
          <t>Nastavenia: povinné krajiny, prepravcovia, upsert + audit, zálohy</t>
        </is>
      </c>
      <c r="D29" s="8" t="inlineStr">
        <is>
          <t>Nastavenia</t>
        </is>
      </c>
      <c r="E29" s="8" t="inlineStr">
        <is>
          <t>Aura Logistika</t>
        </is>
      </c>
      <c r="F29" s="11" t="inlineStr">
        <is>
          <t>repo · hub</t>
        </is>
      </c>
      <c r="G29" s="12" t="inlineStr">
        <is>
          <t>overené</t>
        </is>
      </c>
    </row>
    <row r="30">
      <c r="A30" s="6" t="inlineStr">
        <is>
          <t>Aura HR</t>
        </is>
      </c>
      <c r="B30" s="8" t="inlineStr">
        <is>
          <t>aura-hr-mapa (interná evidencia)</t>
        </is>
      </c>
      <c r="C30" s="8" t="inlineStr">
        <is>
          <t>32 pozícií s náplňou práce — štruktúrované bloky + knižnica činností</t>
        </is>
      </c>
      <c r="D30" s="8" t="inlineStr">
        <is>
          <t>Doména</t>
        </is>
      </c>
      <c r="E30" s="8" t="inlineStr">
        <is>
          <t>Aura HR</t>
        </is>
      </c>
      <c r="F30" s="11" t="inlineStr">
        <is>
          <t>repo · hub</t>
        </is>
      </c>
      <c r="G30" s="12" t="inlineStr">
        <is>
          <t>overené</t>
        </is>
      </c>
    </row>
    <row r="31">
      <c r="A31" s="6" t="inlineStr">
        <is>
          <t>Aura HR</t>
        </is>
      </c>
      <c r="B31" s="8" t="inlineStr">
        <is>
          <t>aura-hr-mapa (interná evidencia)</t>
        </is>
      </c>
      <c r="C31" s="8" t="inlineStr">
        <is>
          <t>~90 rolových mailov s aliasmi; heslá šifrované, viditeľné len Admin</t>
        </is>
      </c>
      <c r="D31" s="8" t="inlineStr">
        <is>
          <t>Bezpečnosť</t>
        </is>
      </c>
      <c r="E31" s="8" t="inlineStr">
        <is>
          <t>Aura HR</t>
        </is>
      </c>
      <c r="F31" s="11" t="inlineStr">
        <is>
          <t>repo · hub</t>
        </is>
      </c>
      <c r="G31" s="12" t="inlineStr">
        <is>
          <t>overené</t>
        </is>
      </c>
    </row>
    <row r="32">
      <c r="A32" s="6" t="inlineStr">
        <is>
          <t>Aura HR</t>
        </is>
      </c>
      <c r="B32" s="8" t="inlineStr">
        <is>
          <t>aura-hr-mapa (interná evidencia)</t>
        </is>
      </c>
      <c r="C32" s="8" t="inlineStr">
        <is>
          <t>Org-strom firmy — 8 uzlov, 3 úrovne, ľudia a pozície na uzol</t>
        </is>
      </c>
      <c r="D32" s="8" t="inlineStr">
        <is>
          <t>Obrazovka</t>
        </is>
      </c>
      <c r="E32" s="8" t="inlineStr">
        <is>
          <t>Aura HR</t>
        </is>
      </c>
      <c r="F32" s="11" t="inlineStr">
        <is>
          <t>repo · hub</t>
        </is>
      </c>
      <c r="G32" s="12" t="inlineStr">
        <is>
          <t>overené</t>
        </is>
      </c>
    </row>
    <row r="33">
      <c r="A33" s="6" t="inlineStr">
        <is>
          <t>Aura HR</t>
        </is>
      </c>
      <c r="B33" s="8" t="inlineStr">
        <is>
          <t>aura-hr-mapa (interná evidencia)</t>
        </is>
      </c>
      <c r="C33" s="8" t="inlineStr">
        <is>
          <t>Register firemných aplikácií s nákladmi, vlastníkmi a licenciami (8 aplikácií)</t>
        </is>
      </c>
      <c r="D33" s="8" t="inlineStr">
        <is>
          <t>Doména</t>
        </is>
      </c>
      <c r="E33" s="8" t="inlineStr">
        <is>
          <t>Aura HR</t>
        </is>
      </c>
      <c r="F33" s="11" t="inlineStr">
        <is>
          <t>repo · hub</t>
        </is>
      </c>
      <c r="G33" s="21" t="inlineStr">
        <is>
          <t>ukážkové</t>
        </is>
      </c>
    </row>
    <row r="34">
      <c r="A34" s="6" t="inlineStr">
        <is>
          <t>Aura HR</t>
        </is>
      </c>
      <c r="B34" s="8" t="inlineStr">
        <is>
          <t>aura-hr-mapa (interná evidencia)</t>
        </is>
      </c>
      <c r="C34" s="8" t="inlineStr">
        <is>
          <t>Karty zamestnancov: pozícia, oddelenie, mail, úväzok, krajina</t>
        </is>
      </c>
      <c r="D34" s="8" t="inlineStr">
        <is>
          <t>Obrazovka</t>
        </is>
      </c>
      <c r="E34" s="8" t="inlineStr">
        <is>
          <t>Aura HR</t>
        </is>
      </c>
      <c r="F34" s="11" t="inlineStr">
        <is>
          <t>repo · hub</t>
        </is>
      </c>
      <c r="G34" s="21" t="inlineStr">
        <is>
          <t>ukážkové</t>
        </is>
      </c>
    </row>
    <row r="35">
      <c r="A35" s="6" t="inlineStr">
        <is>
          <t>Aura HR</t>
        </is>
      </c>
      <c r="B35" s="8" t="inlineStr">
        <is>
          <t>aura-hr-mapa (interná evidencia)</t>
        </is>
      </c>
      <c r="C35" s="8" t="inlineStr">
        <is>
          <t>Audit log a roly; prepínač „heslá mailov len Admin"</t>
        </is>
      </c>
      <c r="D35" s="8" t="inlineStr">
        <is>
          <t>Bezpečnosť</t>
        </is>
      </c>
      <c r="E35" s="8" t="inlineStr">
        <is>
          <t>Aura HR</t>
        </is>
      </c>
      <c r="F35" s="11" t="inlineStr">
        <is>
          <t>repo · hub</t>
        </is>
      </c>
      <c r="G35" s="12" t="inlineStr">
        <is>
          <t>overené</t>
        </is>
      </c>
    </row>
    <row r="36">
      <c r="A36" s="6" t="inlineStr">
        <is>
          <t>Aura HR</t>
        </is>
      </c>
      <c r="B36" s="8" t="inlineStr">
        <is>
          <t>aura-hr-mapa (interná evidencia)</t>
        </is>
      </c>
      <c r="C36" s="8" t="inlineStr">
        <is>
          <t>Zdroj dizajnu vetvy A — styles.css a window.registerView() kit pre Logistiku, KPI a Banner Studio</t>
        </is>
      </c>
      <c r="D36" s="8" t="inlineStr">
        <is>
          <t>Tech</t>
        </is>
      </c>
      <c r="E36" s="8" t="inlineStr">
        <is>
          <t>Aura HR</t>
        </is>
      </c>
      <c r="F36" s="11" t="inlineStr">
        <is>
          <t>Hades · aura-app family</t>
        </is>
      </c>
      <c r="G36" s="20" t="inlineStr">
        <is>
          <t>rekonštruované</t>
        </is>
      </c>
    </row>
    <row r="37">
      <c r="A37" s="6" t="inlineStr">
        <is>
          <t>Aura Roadmap</t>
        </is>
      </c>
      <c r="B37" s="8" t="inlineStr">
        <is>
          <t>aura-roadmap (C:\Aura\aura-roadmap)</t>
        </is>
      </c>
      <c r="C37" s="8" t="inlineStr">
        <is>
          <t>Checkpoint readiness → nemenné rozhodnutie go / conditional_go / no_go / deferred + baseline snapshot</t>
        </is>
      </c>
      <c r="D37" s="8" t="inlineStr">
        <is>
          <t>Doména</t>
        </is>
      </c>
      <c r="E37" s="8" t="inlineStr">
        <is>
          <t>Aura Roadmap</t>
        </is>
      </c>
      <c r="F37" s="11" t="inlineStr">
        <is>
          <t>repo · hub</t>
        </is>
      </c>
      <c r="G37" s="12" t="inlineStr">
        <is>
          <t>overené</t>
        </is>
      </c>
    </row>
    <row r="38">
      <c r="A38" s="6" t="inlineStr">
        <is>
          <t>Aura Roadmap</t>
        </is>
      </c>
      <c r="B38" s="8" t="inlineStr">
        <is>
          <t>aura-roadmap (C:\Aura\aura-roadmap)</t>
        </is>
      </c>
      <c r="C38" s="8" t="inlineStr">
        <is>
          <t>Timeline: 3 režimy (Roadmap / Sprinty / Rozhodnutia) × 3 zoomy (kvartál / mesiac / týždeň) × 2 hustoty</t>
        </is>
      </c>
      <c r="D38" s="8" t="inlineStr">
        <is>
          <t>Obrazovka</t>
        </is>
      </c>
      <c r="E38" s="8" t="inlineStr">
        <is>
          <t>Aura Roadmap</t>
        </is>
      </c>
      <c r="F38" s="11" t="inlineStr">
        <is>
          <t>repo · hub + Hades · Aura Roadmap</t>
        </is>
      </c>
      <c r="G38" s="12" t="inlineStr">
        <is>
          <t>overené</t>
        </is>
      </c>
    </row>
    <row r="39">
      <c r="A39" s="6" t="inlineStr">
        <is>
          <t>Aura Roadmap</t>
        </is>
      </c>
      <c r="B39" s="8" t="inlineStr">
        <is>
          <t>aura-roadmap (C:\Aura\aura-roadmap)</t>
        </is>
      </c>
      <c r="C39" s="8" t="inlineStr">
        <is>
          <t>Šprinty draft → commit → close s carry-over nedokončených položiek</t>
        </is>
      </c>
      <c r="D39" s="8" t="inlineStr">
        <is>
          <t>Proces</t>
        </is>
      </c>
      <c r="E39" s="8" t="inlineStr">
        <is>
          <t>Aura Roadmap</t>
        </is>
      </c>
      <c r="F39" s="11" t="inlineStr">
        <is>
          <t>repo · hub</t>
        </is>
      </c>
      <c r="G39" s="12" t="inlineStr">
        <is>
          <t>overené</t>
        </is>
      </c>
    </row>
    <row r="40">
      <c r="A40" s="6" t="inlineStr">
        <is>
          <t>Aura Roadmap</t>
        </is>
      </c>
      <c r="B40" s="8" t="inlineStr">
        <is>
          <t>aura-roadmap (C:\Aura\aura-roadmap)</t>
        </is>
      </c>
      <c r="C40" s="8" t="inlineStr">
        <is>
          <t>Jeden pevný stavový model backlog → in_progress → waiting → done (workflow engine zrušený)</t>
        </is>
      </c>
      <c r="D40" s="8" t="inlineStr">
        <is>
          <t>Doména</t>
        </is>
      </c>
      <c r="E40" s="8" t="inlineStr">
        <is>
          <t>Aura Roadmap</t>
        </is>
      </c>
      <c r="F40" s="11" t="inlineStr">
        <is>
          <t>repo · hub + Hades · Aura Roadmap</t>
        </is>
      </c>
      <c r="G40" s="12" t="inlineStr">
        <is>
          <t>overené</t>
        </is>
      </c>
    </row>
    <row r="41">
      <c r="A41" s="6" t="inlineStr">
        <is>
          <t>Aura Roadmap</t>
        </is>
      </c>
      <c r="B41" s="8" t="inlineStr">
        <is>
          <t>aura-roadmap (C:\Aura\aura-roadmap)</t>
        </is>
      </c>
      <c r="C41" s="8" t="inlineStr">
        <is>
          <t>2 úrovne práce (Úloha → Podúloha), typy task / bug / idea; custom fields a dashboard builder zrušené</t>
        </is>
      </c>
      <c r="D41" s="8" t="inlineStr">
        <is>
          <t>Doména</t>
        </is>
      </c>
      <c r="E41" s="8" t="inlineStr">
        <is>
          <t>Aura Roadmap</t>
        </is>
      </c>
      <c r="F41" s="11" t="inlineStr">
        <is>
          <t>Hades · Aura Roadmap</t>
        </is>
      </c>
      <c r="G41" s="20" t="inlineStr">
        <is>
          <t>rekonštruované</t>
        </is>
      </c>
    </row>
    <row r="42">
      <c r="A42" s="6" t="inlineStr">
        <is>
          <t>Aura Roadmap</t>
        </is>
      </c>
      <c r="B42" s="8" t="inlineStr">
        <is>
          <t>aura-roadmap (C:\Aura\aura-roadmap)</t>
        </is>
      </c>
      <c r="C42" s="8" t="inlineStr">
        <is>
          <t>Projekty s fázou, prioritou, rizikom, sprintom a termínom (6 projektov)</t>
        </is>
      </c>
      <c r="D42" s="8" t="inlineStr">
        <is>
          <t>Obrazovka</t>
        </is>
      </c>
      <c r="E42" s="8" t="inlineStr">
        <is>
          <t>Aura Roadmap</t>
        </is>
      </c>
      <c r="F42" s="11" t="inlineStr">
        <is>
          <t>repo · hub</t>
        </is>
      </c>
      <c r="G42" s="21" t="inlineStr">
        <is>
          <t>ukážkové</t>
        </is>
      </c>
    </row>
    <row r="43">
      <c r="A43" s="6" t="inlineStr">
        <is>
          <t>Aura Roadmap</t>
        </is>
      </c>
      <c r="B43" s="8" t="inlineStr">
        <is>
          <t>aura-roadmap (C:\Aura\aura-roadmap)</t>
        </is>
      </c>
      <c r="C43" s="8" t="inlineStr">
        <is>
          <t>Rozhodovacia fronta — 5 rozhodnutí s dopadom a termínom</t>
        </is>
      </c>
      <c r="D43" s="8" t="inlineStr">
        <is>
          <t>Obrazovka</t>
        </is>
      </c>
      <c r="E43" s="8" t="inlineStr">
        <is>
          <t>Aura Roadmap</t>
        </is>
      </c>
      <c r="F43" s="11" t="inlineStr">
        <is>
          <t>repo · hub</t>
        </is>
      </c>
      <c r="G43" s="12" t="inlineStr">
        <is>
          <t>overené</t>
        </is>
      </c>
    </row>
    <row r="44">
      <c r="A44" s="6" t="inlineStr">
        <is>
          <t>Aura Roadmap</t>
        </is>
      </c>
      <c r="B44" s="8" t="inlineStr">
        <is>
          <t>aura-roadmap (C:\Aura\aura-roadmap)</t>
        </is>
      </c>
      <c r="C44" s="8" t="inlineStr">
        <is>
          <t>Bezpečnostná pipeline defineRoute(): auth → rateLimit → zod → handler, CSRF fail-closed, lockout 5/15 min</t>
        </is>
      </c>
      <c r="D44" s="8" t="inlineStr">
        <is>
          <t>Bezpečnosť</t>
        </is>
      </c>
      <c r="E44" s="8" t="inlineStr">
        <is>
          <t>Aura Roadmap</t>
        </is>
      </c>
      <c r="F44" s="11" t="inlineStr">
        <is>
          <t>Hades · Aura Roadmap</t>
        </is>
      </c>
      <c r="G44" s="20" t="inlineStr">
        <is>
          <t>rekonštruované</t>
        </is>
      </c>
    </row>
    <row r="45">
      <c r="A45" s="6" t="inlineStr">
        <is>
          <t>Aura Tržby</t>
        </is>
      </c>
      <c r="B45" s="8" t="inlineStr">
        <is>
          <t>dnes statický HTML report · appka zatiaľ neexistuje</t>
        </is>
      </c>
      <c r="C45" s="8" t="inlineStr">
        <is>
          <t>Klientske filtre prepočítavajú celý report (trh, platba, kov, zákazník, zľava)</t>
        </is>
      </c>
      <c r="D45" s="8" t="inlineStr">
        <is>
          <t>Doména</t>
        </is>
      </c>
      <c r="E45" s="8" t="inlineStr">
        <is>
          <t>Aura Tržby</t>
        </is>
      </c>
      <c r="F45" s="11" t="inlineStr">
        <is>
          <t>repo · hub</t>
        </is>
      </c>
      <c r="G45" s="12" t="inlineStr">
        <is>
          <t>overené</t>
        </is>
      </c>
    </row>
    <row r="46">
      <c r="A46" s="6" t="inlineStr">
        <is>
          <t>Aura Tržby</t>
        </is>
      </c>
      <c r="B46" s="8" t="inlineStr">
        <is>
          <t>dnes statický HTML report · appka zatiaľ neexistuje</t>
        </is>
      </c>
      <c r="C46" s="8" t="inlineStr">
        <is>
          <t>Denný graf s prepínačom tržba / zisk / objednávky + kumulatívna krivka</t>
        </is>
      </c>
      <c r="D46" s="8" t="inlineStr">
        <is>
          <t>Obrazovka</t>
        </is>
      </c>
      <c r="E46" s="8" t="inlineStr">
        <is>
          <t>Aura Tržby</t>
        </is>
      </c>
      <c r="F46" s="11" t="inlineStr">
        <is>
          <t>repo · hub</t>
        </is>
      </c>
      <c r="G46" s="12" t="inlineStr">
        <is>
          <t>overené</t>
        </is>
      </c>
    </row>
    <row r="47">
      <c r="A47" s="6" t="inlineStr">
        <is>
          <t>Aura Tržby</t>
        </is>
      </c>
      <c r="B47" s="8" t="inlineStr">
        <is>
          <t>dnes statický HTML report · appka zatiaľ neexistuje</t>
        </is>
      </c>
      <c r="C47" s="8" t="inlineStr">
        <is>
          <t>Zoraditeľné tabuľky, riadok = filter, CSV export (BOM + „;" pre Excel SK)</t>
        </is>
      </c>
      <c r="D47" s="8" t="inlineStr">
        <is>
          <t>Dáta</t>
        </is>
      </c>
      <c r="E47" s="8" t="inlineStr">
        <is>
          <t>Aura Tržby</t>
        </is>
      </c>
      <c r="F47" s="11" t="inlineStr">
        <is>
          <t>repo · hub</t>
        </is>
      </c>
      <c r="G47" s="12" t="inlineStr">
        <is>
          <t>overené</t>
        </is>
      </c>
    </row>
    <row r="48">
      <c r="A48" s="6" t="inlineStr">
        <is>
          <t>Aura Tržby</t>
        </is>
      </c>
      <c r="B48" s="8" t="inlineStr">
        <is>
          <t>dnes statický HTML report · appka zatiaľ neexistuje</t>
        </is>
      </c>
      <c r="C48" s="8" t="inlineStr">
        <is>
          <t>Segmenty ako pravidlá v Definíciách so spätným prepočtom (nový / opakovaný, zľava áno / nie)</t>
        </is>
      </c>
      <c r="D48" s="8" t="inlineStr">
        <is>
          <t>Doména</t>
        </is>
      </c>
      <c r="E48" s="8" t="inlineStr">
        <is>
          <t>Aura Tržby</t>
        </is>
      </c>
      <c r="F48" s="11" t="inlineStr">
        <is>
          <t>repo · hub + Hades · plán F2–F6</t>
        </is>
      </c>
      <c r="G48" s="12" t="inlineStr">
        <is>
          <t>overené</t>
        </is>
      </c>
    </row>
    <row r="49">
      <c r="A49" s="6" t="inlineStr">
        <is>
          <t>Aura Tržby</t>
        </is>
      </c>
      <c r="B49" s="8" t="inlineStr">
        <is>
          <t>dnes statický HTML report · appka zatiaľ neexistuje</t>
        </is>
      </c>
      <c r="C49" s="8" t="inlineStr">
        <is>
          <t>Analytické pohľady: Trhy (6), Koše (4), Hodiny a dni, Expedícia (4)</t>
        </is>
      </c>
      <c r="D49" s="8" t="inlineStr">
        <is>
          <t>Obrazovka</t>
        </is>
      </c>
      <c r="E49" s="8" t="inlineStr">
        <is>
          <t>Aura Tržby</t>
        </is>
      </c>
      <c r="F49" s="11" t="inlineStr">
        <is>
          <t>repo · hub</t>
        </is>
      </c>
      <c r="G49" s="12" t="inlineStr">
        <is>
          <t>overené</t>
        </is>
      </c>
    </row>
    <row r="50">
      <c r="A50" s="6" t="inlineStr">
        <is>
          <t>Aura Tržby</t>
        </is>
      </c>
      <c r="B50" s="8" t="inlineStr">
        <is>
          <t>dnes statický HTML report · appka zatiaľ neexistuje</t>
        </is>
      </c>
      <c r="C50" s="8" t="inlineStr">
        <is>
          <t>Zistenia — pravidlové, nie AI generované</t>
        </is>
      </c>
      <c r="D50" s="8" t="inlineStr">
        <is>
          <t>Doména</t>
        </is>
      </c>
      <c r="E50" s="8" t="inlineStr">
        <is>
          <t>Aura Tržby</t>
        </is>
      </c>
      <c r="F50" s="11" t="inlineStr">
        <is>
          <t>Hades · plán F2–F6</t>
        </is>
      </c>
      <c r="G50" s="20" t="inlineStr">
        <is>
          <t>rekonštruované</t>
        </is>
      </c>
    </row>
    <row r="51">
      <c r="A51" s="6" t="inlineStr">
        <is>
          <t>Aura Tržby</t>
        </is>
      </c>
      <c r="B51" s="8" t="inlineStr">
        <is>
          <t>dnes statický HTML report · appka zatiaľ neexistuje</t>
        </is>
      </c>
      <c r="C51" s="8" t="inlineStr">
        <is>
          <t>Reálne čísla júl 2026: tržba 217 016 €, zisk 126 541 €, marža 66,1 %, AOV 38,21 €, expedícia 69,6 % do 24 h</t>
        </is>
      </c>
      <c r="D51" s="8" t="inlineStr">
        <is>
          <t>Dáta</t>
        </is>
      </c>
      <c r="E51" s="8" t="inlineStr">
        <is>
          <t>Aura Tržby</t>
        </is>
      </c>
      <c r="F51" s="11" t="inlineStr">
        <is>
          <t>repo · hub + Hades · hub náhľad</t>
        </is>
      </c>
      <c r="G51" s="12" t="inlineStr">
        <is>
          <t>overené</t>
        </is>
      </c>
    </row>
    <row r="52">
      <c r="A52" s="6" t="inlineStr">
        <is>
          <t>Aura Tržby</t>
        </is>
      </c>
      <c r="B52" s="8" t="inlineStr">
        <is>
          <t>dnes statický HTML report · appka zatiaľ neexistuje</t>
        </is>
      </c>
      <c r="C52" s="8" t="inlineStr">
        <is>
          <t>Objednávky a položky bez osobných údajov, multi-mena, storná hrubé aj čisté (plán appky)</t>
        </is>
      </c>
      <c r="D52" s="8" t="inlineStr">
        <is>
          <t>Bezpečnosť</t>
        </is>
      </c>
      <c r="E52" s="8" t="inlineStr">
        <is>
          <t>Aura Tržby</t>
        </is>
      </c>
      <c r="F52" s="11" t="inlineStr">
        <is>
          <t>Hades · plán F2–F6</t>
        </is>
      </c>
      <c r="G52" s="20" t="inlineStr">
        <is>
          <t>rekonštruované</t>
        </is>
      </c>
    </row>
    <row r="53">
      <c r="A53" s="6" t="inlineStr">
        <is>
          <t>Spoločná vrstva</t>
        </is>
      </c>
      <c r="B53" s="8" t="inlineStr">
        <is>
          <t>mockup Aura Suite</t>
        </is>
      </c>
      <c r="C53" s="8" t="inlineStr">
        <is>
          <t>Shop API konektor — LIVE pilulka v hlavičke, 5 endpointov (orders / products / stats / shipping / returns) s latenciou a časom syncu, 4 stavy (live / stale / error / demo), tikajúce „pred X min" + Synchronizovať teraz s deterministickým jitterom ±2 %, prepínač Simulovať výpadok, audit log</t>
        </is>
      </c>
      <c r="D53" s="8" t="inlineStr">
        <is>
          <t>Spoločné</t>
        </is>
      </c>
      <c r="E53" s="8" t="inlineStr">
        <is>
          <t>Tržby, Logistika, Marketing, KPI</t>
        </is>
      </c>
      <c r="F53" s="11" t="inlineStr">
        <is>
          <t>repo · hub + README</t>
        </is>
      </c>
      <c r="G53" s="12" t="inlineStr">
        <is>
          <t>overené</t>
        </is>
      </c>
    </row>
    <row r="54">
      <c r="A54" s="6" t="inlineStr">
        <is>
          <t>Spoločná vrstva</t>
        </is>
      </c>
      <c r="B54" s="8" t="inlineStr">
        <is>
          <t>mockup Aura Suite</t>
        </is>
      </c>
      <c r="C54" s="8" t="inlineStr">
        <is>
          <t>Import wizard — 4 kroky: súbor → mapovanie stĺpcov → validácia → súhrn. Reálny CSV cez FileReader s autodetekciou „;" / „," a BOM, auto-match podľa hlavičky, typová kontrola s tabuľkou chýb, upsert s kľúčom per modul, undo posledného importu, história v Nastaveniach</t>
        </is>
      </c>
      <c r="D54" s="8" t="inlineStr">
        <is>
          <t>Spoločné</t>
        </is>
      </c>
      <c r="E54" s="8" t="inlineStr">
        <is>
          <t>všetkých 6 modulov</t>
        </is>
      </c>
      <c r="F54" s="11" t="inlineStr">
        <is>
          <t>repo · hub + README</t>
        </is>
      </c>
      <c r="G54" s="12" t="inlineStr">
        <is>
          <t>overené</t>
        </is>
      </c>
    </row>
    <row r="55">
      <c r="A55" s="6" t="inlineStr">
        <is>
          <t>Spoločná vrstva</t>
        </is>
      </c>
      <c r="B55" s="8" t="inlineStr">
        <is>
          <t>mockup Aura Suite</t>
        </is>
      </c>
      <c r="C55" s="8" t="inlineStr">
        <is>
          <t>Report builder — Šablóny per modul, obdobie, výber sekcií (KPI / graf / tabuľka / Zistenia), živý HTML náhľad, CSV s BOM + „;", Tlač/PDF cez print CSS, zdieľateľný hash-odkaz, plánovanie reportov, šablónované AI komentáre z reálnych čísel</t>
        </is>
      </c>
      <c r="D55" s="8" t="inlineStr">
        <is>
          <t>Spoločné</t>
        </is>
      </c>
      <c r="E55" s="8" t="inlineStr">
        <is>
          <t>všetkých 6 modulov</t>
        </is>
      </c>
      <c r="F55" s="11" t="inlineStr">
        <is>
          <t>repo · hub + README</t>
        </is>
      </c>
      <c r="G55" s="12" t="inlineStr">
        <is>
          <t>overené</t>
        </is>
      </c>
    </row>
    <row r="56">
      <c r="A56" s="6" t="inlineStr">
        <is>
          <t>Spoločná vrstva</t>
        </is>
      </c>
      <c r="B56" s="8" t="inlineStr">
        <is>
          <t>mockup Aura Suite</t>
        </is>
      </c>
      <c r="C56" s="8" t="inlineStr">
        <is>
          <t>AuraAI chat asistent — Dokovaný pravý panel 360 px (na mobile fullscreen), FAB s korunkou + ⌘J + položka v ⌘K palete, kontextová hlavička „vidí: modul / stránka · filter", 3 navrhované otázky pre každú z 45 stránok, povinná citácia zdroja (API · sync / import / ukážka), 4 typy akcií so zápisom do Aktivity</t>
        </is>
      </c>
      <c r="D56" s="8" t="inlineStr">
        <is>
          <t>Spoločné</t>
        </is>
      </c>
      <c r="E56" s="8" t="inlineStr">
        <is>
          <t>všetkých 6 modulov</t>
        </is>
      </c>
      <c r="F56" s="11" t="inlineStr">
        <is>
          <t>repo · hub + README</t>
        </is>
      </c>
      <c r="G56" s="12" t="inlineStr">
        <is>
          <t>overené</t>
        </is>
      </c>
    </row>
    <row r="57">
      <c r="A57" s="6" t="inlineStr">
        <is>
          <t>Spoločná vrstva</t>
        </is>
      </c>
      <c r="B57" s="8" t="inlineStr">
        <is>
          <t>mockup Aura Suite</t>
        </is>
      </c>
      <c r="C57" s="8" t="inlineStr">
        <is>
          <t>Globálna navigácia — ⌘K / Ctrl+K vyhľadávanie naprieč modulmi, panel notifikácií, profilové menu, klávesy 1–6 na skok na modul, ←/→ medzi obrazovkami, Esc zavrie overlay</t>
        </is>
      </c>
      <c r="D57" s="8" t="inlineStr">
        <is>
          <t>Spoločné</t>
        </is>
      </c>
      <c r="E57" s="8" t="inlineStr">
        <is>
          <t>všetkých 6 modulov</t>
        </is>
      </c>
      <c r="F57" s="11" t="inlineStr">
        <is>
          <t>repo · hub + README</t>
        </is>
      </c>
      <c r="G57" s="12" t="inlineStr">
        <is>
          <t>overené</t>
        </is>
      </c>
    </row>
    <row r="58">
      <c r="A58" s="6" t="inlineStr">
        <is>
          <t>Spoločná vrstva</t>
        </is>
      </c>
      <c r="B58" s="8" t="inlineStr">
        <is>
          <t>mockup Aura Suite</t>
        </is>
      </c>
      <c r="C58" s="8" t="inlineStr">
        <is>
          <t>Dvojjazyčnosť SK / EN — Celé rozhranie vrátane formátu čísel a dátumov; prepínač vpravo hore</t>
        </is>
      </c>
      <c r="D58" s="8" t="inlineStr">
        <is>
          <t>Spoločné</t>
        </is>
      </c>
      <c r="E58" s="8" t="inlineStr">
        <is>
          <t>všetkých 6 modulov</t>
        </is>
      </c>
      <c r="F58" s="11" t="inlineStr">
        <is>
          <t>repo · hub</t>
        </is>
      </c>
      <c r="G58" s="12" t="inlineStr">
        <is>
          <t>overené</t>
        </is>
      </c>
    </row>
    <row r="59">
      <c r="A59" s="6" t="inlineStr">
        <is>
          <t>Spoločná vrstva</t>
        </is>
      </c>
      <c r="B59" s="8" t="inlineStr">
        <is>
          <t>mockup Aura Suite</t>
        </is>
      </c>
      <c r="C59" s="8" t="inlineStr">
        <is>
          <t>Dark / Light téma — Prepínač funguje na všetkých obrazovkách; light téma spĺňa AA kontrast</t>
        </is>
      </c>
      <c r="D59" s="8" t="inlineStr">
        <is>
          <t>Spoločné</t>
        </is>
      </c>
      <c r="E59" s="8" t="inlineStr">
        <is>
          <t>všetkých 6 modulov</t>
        </is>
      </c>
      <c r="F59" s="11" t="inlineStr">
        <is>
          <t>repo · hub + README</t>
        </is>
      </c>
      <c r="G59" s="12" t="inlineStr">
        <is>
          <t>overené</t>
        </is>
      </c>
    </row>
    <row r="60">
      <c r="A60" s="6" t="inlineStr">
        <is>
          <t>Spoločná vrstva</t>
        </is>
      </c>
      <c r="B60" s="8" t="inlineStr">
        <is>
          <t>mockup Aura Suite</t>
        </is>
      </c>
      <c r="C60" s="8" t="inlineStr">
        <is>
          <t>Prístupnosť — :focus-visible, role=switch, ARIA popisy, landmarky header / main / aside, scope na tabuľkách, aria-sort pri triedení</t>
        </is>
      </c>
      <c r="D60" s="8" t="inlineStr">
        <is>
          <t>Spoločné</t>
        </is>
      </c>
      <c r="E60" s="8" t="inlineStr">
        <is>
          <t>všetkých 6 modulov</t>
        </is>
      </c>
      <c r="F60" s="11" t="inlineStr">
        <is>
          <t>repo · hub + README</t>
        </is>
      </c>
      <c r="G60" s="12" t="inlineStr">
        <is>
          <t>overené</t>
        </is>
      </c>
    </row>
    <row r="61">
      <c r="A61" s="6" t="inlineStr">
        <is>
          <t>Spoločná vrstva</t>
        </is>
      </c>
      <c r="B61" s="8" t="inlineStr">
        <is>
          <t>mockup Aura Suite</t>
        </is>
      </c>
      <c r="C61" s="8" t="inlineStr">
        <is>
          <t>Stavy rozhrania — Skeleton loading pri prepínaní obrazoviek, toasty po akciách, empty stav pri prázdnom filtri, onboarding prázdny štart, chybové bannery s reálnymi scenármi</t>
        </is>
      </c>
      <c r="D61" s="8" t="inlineStr">
        <is>
          <t>Spoločné</t>
        </is>
      </c>
      <c r="E61" s="8" t="inlineStr">
        <is>
          <t>všetkých 6 modulov</t>
        </is>
      </c>
      <c r="F61" s="11" t="inlineStr">
        <is>
          <t>repo · hub + README</t>
        </is>
      </c>
      <c r="G61" s="12" t="inlineStr">
        <is>
          <t>overené</t>
        </is>
      </c>
    </row>
    <row r="62">
      <c r="A62" s="6" t="inlineStr">
        <is>
          <t>Spoločná vrstva</t>
        </is>
      </c>
      <c r="B62" s="8" t="inlineStr">
        <is>
          <t>mockup Aura Suite</t>
        </is>
      </c>
      <c r="C62" s="8" t="inlineStr">
        <is>
          <t>Vstupné obrazovky — login → workspace (výber pracovného priestoru) → rozcestník; profilová stránka</t>
        </is>
      </c>
      <c r="D62" s="8" t="inlineStr">
        <is>
          <t>Spoločné</t>
        </is>
      </c>
      <c r="E62" s="8" t="inlineStr">
        <is>
          <t>globálne</t>
        </is>
      </c>
      <c r="F62" s="11" t="inlineStr">
        <is>
          <t>repo · hub</t>
        </is>
      </c>
      <c r="G62" s="12" t="inlineStr">
        <is>
          <t>overené</t>
        </is>
      </c>
    </row>
    <row r="63">
      <c r="A63" s="6" t="inlineStr">
        <is>
          <t>Spoločná vrstva</t>
        </is>
      </c>
      <c r="B63" s="8" t="inlineStr">
        <is>
          <t>mockup Aura Suite</t>
        </is>
      </c>
      <c r="C63" s="8" t="inlineStr">
        <is>
          <t>Tabuľkové ovládanie — Triedenie klikom na hlavičku, pager nad 10 riadkov, Filter ako popover, klikateľné riadky → detail, create/edit modál s toastom</t>
        </is>
      </c>
      <c r="D63" s="8" t="inlineStr">
        <is>
          <t>Spoločné</t>
        </is>
      </c>
      <c r="E63" s="8" t="inlineStr">
        <is>
          <t>všetkých 6 modulov</t>
        </is>
      </c>
      <c r="F63" s="11" t="inlineStr">
        <is>
          <t>repo · hub + README</t>
        </is>
      </c>
      <c r="G63" s="12" t="inlineStr">
        <is>
          <t>overené</t>
        </is>
      </c>
    </row>
    <row r="64">
      <c r="A64" s="6" t="inlineStr">
        <is>
          <t>Spoločná vrstva</t>
        </is>
      </c>
      <c r="B64" s="8" t="inlineStr">
        <is>
          <t>mockup Aura Suite</t>
        </is>
      </c>
      <c r="C64" s="8" t="inlineStr">
        <is>
          <t>Nulové externé závislosti — Bez localStorage, bez analytiky, bez CDN skriptov; grafy ručné SVG/CSS; jediná externá závislosť sú Google Fonts so systémovým fallbackom</t>
        </is>
      </c>
      <c r="D64" s="8" t="inlineStr">
        <is>
          <t>Spoločné</t>
        </is>
      </c>
      <c r="E64" s="8" t="inlineStr">
        <is>
          <t>globálne</t>
        </is>
      </c>
      <c r="F64" s="11" t="inlineStr">
        <is>
          <t>repo · hub + README</t>
        </is>
      </c>
      <c r="G64" s="12" t="inlineStr">
        <is>
          <t>overené</t>
        </is>
      </c>
    </row>
    <row r="65">
      <c r="A65" s="6" t="inlineStr">
        <is>
          <t>Spoločná vrstva</t>
        </is>
      </c>
      <c r="B65" s="8" t="inlineStr">
        <is>
          <t>mockup Aura Suite</t>
        </is>
      </c>
      <c r="C65" s="8" t="inlineStr">
        <is>
          <t>Aura Hub — rozcestník appiek — Samostatná appka C:\Aura\aura-hub na porte 3050 (Node 22 + Express 4, bez DB, 37 testov). 6 kariet modulov s live metrikami, sparkline a pásom cross-app alertov. Každá appka vystavuje GET /api/summary chránený tokenom X-Aura-Hub-Token; hub sa dopytuje paralelne, validuje payload proti kontraktu a kešuje 30 s</t>
        </is>
      </c>
      <c r="D65" s="8" t="inlineStr">
        <is>
          <t>Spoločné</t>
        </is>
      </c>
      <c r="E65" s="8" t="inlineStr">
        <is>
          <t>globálne</t>
        </is>
      </c>
      <c r="F65" s="11" t="inlineStr">
        <is>
          <t>Hades · Aura Hub</t>
        </is>
      </c>
      <c r="G65" s="20" t="inlineStr">
        <is>
          <t>rekonštruované</t>
        </is>
      </c>
    </row>
  </sheetData>
  <mergeCells count="1"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3797E"/>
    <outlinePr summaryBelow="1" summaryRight="1"/>
    <pageSetUpPr/>
  </sheetPr>
  <dimension ref="A1:F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7" customWidth="1" min="3" max="3"/>
    <col width="22" customWidth="1" min="4" max="4"/>
    <col width="24" customWidth="1" min="5" max="5"/>
    <col width="46" customWidth="1" min="6" max="6"/>
  </cols>
  <sheetData>
    <row r="1" ht="22" customHeight="1">
      <c r="A1" s="22" t="inlineStr">
        <is>
          <t>Obrazovky</t>
        </is>
      </c>
    </row>
    <row r="2" ht="26" customHeight="1">
      <c r="A2" s="16" t="inlineStr">
        <is>
          <t>Obrazovka = samostatná hash-routa v mockupe apps/aura-apps-hub.html. Modulové obrazovky vrátane intro stránky modulu; vstupné obrazovky a rozcestník sú vedené ako Globálne.</t>
        </is>
      </c>
    </row>
    <row r="4" ht="30" customHeight="1">
      <c r="A4" s="5" t="inlineStr">
        <is>
          <t>Modul</t>
        </is>
      </c>
      <c r="B4" s="5" t="inlineStr">
        <is>
          <t>Reálna appka</t>
        </is>
      </c>
      <c r="C4" s="5" t="inlineStr">
        <is>
          <t>#</t>
        </is>
      </c>
      <c r="D4" s="5" t="inlineStr">
        <is>
          <t>Routa</t>
        </is>
      </c>
      <c r="E4" s="5" t="inlineStr">
        <is>
          <t>Obrazovka</t>
        </is>
      </c>
      <c r="F4" s="5" t="inlineStr">
        <is>
          <t>Typ / obsah</t>
        </is>
      </c>
    </row>
    <row r="5">
      <c r="A5" s="6" t="inlineStr">
        <is>
          <t>Aura Marketing</t>
        </is>
      </c>
      <c r="B5" s="8" t="inlineStr">
        <is>
          <t>sperky-ai (aura-web) + Aura Banner Studio</t>
        </is>
      </c>
      <c r="C5" s="11" t="inlineStr">
        <is>
          <t>1.1</t>
        </is>
      </c>
      <c r="D5" s="11" t="inlineStr">
        <is>
          <t>#marketing/intro</t>
        </is>
      </c>
      <c r="E5" s="8" t="inlineStr">
        <is>
          <t>Intro modulu</t>
        </is>
      </c>
      <c r="F5" s="8" t="inlineStr">
        <is>
          <t>intro</t>
        </is>
      </c>
    </row>
    <row r="6">
      <c r="A6" s="6" t="inlineStr">
        <is>
          <t>Aura Marketing</t>
        </is>
      </c>
      <c r="B6" s="8" t="inlineStr">
        <is>
          <t>sperky-ai (aura-web) + Aura Banner Studio</t>
        </is>
      </c>
      <c r="C6" s="11" t="inlineStr">
        <is>
          <t>1.2</t>
        </is>
      </c>
      <c r="D6" s="11" t="inlineStr">
        <is>
          <t>#marketing/dashboard</t>
        </is>
      </c>
      <c r="E6" s="8" t="inlineStr">
        <is>
          <t>Prehľad</t>
        </is>
      </c>
      <c r="F6" s="8" t="inlineStr">
        <is>
          <t>dashboard</t>
        </is>
      </c>
    </row>
    <row r="7">
      <c r="A7" s="6" t="inlineStr">
        <is>
          <t>Aura Marketing</t>
        </is>
      </c>
      <c r="B7" s="8" t="inlineStr">
        <is>
          <t>sperky-ai (aura-web) + Aura Banner Studio</t>
        </is>
      </c>
      <c r="C7" s="11" t="inlineStr">
        <is>
          <t>1.3</t>
        </is>
      </c>
      <c r="D7" s="11" t="inlineStr">
        <is>
          <t>#marketing/list</t>
        </is>
      </c>
      <c r="E7" s="8" t="inlineStr">
        <is>
          <t>Kampane</t>
        </is>
      </c>
      <c r="F7" s="8" t="inlineStr">
        <is>
          <t>zoznam (6 riadkov)</t>
        </is>
      </c>
    </row>
    <row r="8">
      <c r="A8" s="6" t="inlineStr">
        <is>
          <t>Aura Marketing</t>
        </is>
      </c>
      <c r="B8" s="8" t="inlineStr">
        <is>
          <t>sperky-ai (aura-web) + Aura Banner Studio</t>
        </is>
      </c>
      <c r="C8" s="11" t="inlineStr">
        <is>
          <t>1.4</t>
        </is>
      </c>
      <c r="D8" s="11" t="inlineStr">
        <is>
          <t>#marketing/bannery</t>
        </is>
      </c>
      <c r="E8" s="8" t="inlineStr">
        <is>
          <t>Bannery</t>
        </is>
      </c>
      <c r="F8" s="8" t="inlineStr">
        <is>
          <t>galéria</t>
        </is>
      </c>
    </row>
    <row r="9">
      <c r="A9" s="6" t="inlineStr">
        <is>
          <t>Aura Marketing</t>
        </is>
      </c>
      <c r="B9" s="8" t="inlineStr">
        <is>
          <t>sperky-ai (aura-web) + Aura Banner Studio</t>
        </is>
      </c>
      <c r="C9" s="11" t="inlineStr">
        <is>
          <t>1.5</t>
        </is>
      </c>
      <c r="D9" s="11" t="inlineStr">
        <is>
          <t>#marketing/ads</t>
        </is>
      </c>
      <c r="E9" s="8" t="inlineStr">
        <is>
          <t>Ads</t>
        </is>
      </c>
      <c r="F9" s="8" t="inlineStr">
        <is>
          <t>tabuľka (11 riadkov)</t>
        </is>
      </c>
    </row>
    <row r="10">
      <c r="A10" s="6" t="inlineStr">
        <is>
          <t>Aura Marketing</t>
        </is>
      </c>
      <c r="B10" s="8" t="inlineStr">
        <is>
          <t>sperky-ai (aura-web) + Aura Banner Studio</t>
        </is>
      </c>
      <c r="C10" s="11" t="inlineStr">
        <is>
          <t>1.6</t>
        </is>
      </c>
      <c r="D10" s="11" t="inlineStr">
        <is>
          <t>#marketing/detail</t>
        </is>
      </c>
      <c r="E10" s="8" t="inlineStr">
        <is>
          <t>Detail kampane</t>
        </is>
      </c>
      <c r="F10" s="8" t="inlineStr">
        <is>
          <t>detail</t>
        </is>
      </c>
    </row>
    <row r="11">
      <c r="A11" s="6" t="inlineStr">
        <is>
          <t>Aura Marketing</t>
        </is>
      </c>
      <c r="B11" s="8" t="inlineStr">
        <is>
          <t>sperky-ai (aura-web) + Aura Banner Studio</t>
        </is>
      </c>
      <c r="C11" s="11" t="inlineStr">
        <is>
          <t>1.7</t>
        </is>
      </c>
      <c r="D11" s="11" t="inlineStr">
        <is>
          <t>#marketing/settings</t>
        </is>
      </c>
      <c r="E11" s="8" t="inlineStr">
        <is>
          <t>Nastavenia</t>
        </is>
      </c>
      <c r="F11" s="8" t="inlineStr">
        <is>
          <t>nastavenia</t>
        </is>
      </c>
    </row>
    <row r="12">
      <c r="A12" s="6" t="inlineStr">
        <is>
          <t>Aura KPI</t>
        </is>
      </c>
      <c r="B12" s="8" t="inlineStr">
        <is>
          <t>aura-kpi (C:\Aura\aura-kpi)</t>
        </is>
      </c>
      <c r="C12" s="11" t="inlineStr">
        <is>
          <t>2.1</t>
        </is>
      </c>
      <c r="D12" s="11" t="inlineStr">
        <is>
          <t>#kpi/intro</t>
        </is>
      </c>
      <c r="E12" s="8" t="inlineStr">
        <is>
          <t>Intro modulu</t>
        </is>
      </c>
      <c r="F12" s="8" t="inlineStr">
        <is>
          <t>intro</t>
        </is>
      </c>
    </row>
    <row r="13">
      <c r="A13" s="6" t="inlineStr">
        <is>
          <t>Aura KPI</t>
        </is>
      </c>
      <c r="B13" s="8" t="inlineStr">
        <is>
          <t>aura-kpi (C:\Aura\aura-kpi)</t>
        </is>
      </c>
      <c r="C13" s="11" t="inlineStr">
        <is>
          <t>2.2</t>
        </is>
      </c>
      <c r="D13" s="11" t="inlineStr">
        <is>
          <t>#kpi/dashboard</t>
        </is>
      </c>
      <c r="E13" s="8" t="inlineStr">
        <is>
          <t>Prehľad</t>
        </is>
      </c>
      <c r="F13" s="8" t="inlineStr">
        <is>
          <t>dashboard</t>
        </is>
      </c>
    </row>
    <row r="14">
      <c r="A14" s="6" t="inlineStr">
        <is>
          <t>Aura KPI</t>
        </is>
      </c>
      <c r="B14" s="8" t="inlineStr">
        <is>
          <t>aura-kpi (C:\Aura\aura-kpi)</t>
        </is>
      </c>
      <c r="C14" s="11" t="inlineStr">
        <is>
          <t>2.3</t>
        </is>
      </c>
      <c r="D14" s="11" t="inlineStr">
        <is>
          <t>#kpi/list</t>
        </is>
      </c>
      <c r="E14" s="8" t="inlineStr">
        <is>
          <t>Oddelenia</t>
        </is>
      </c>
      <c r="F14" s="8" t="inlineStr">
        <is>
          <t>zoznam (12 riadkov)</t>
        </is>
      </c>
    </row>
    <row r="15">
      <c r="A15" s="6" t="inlineStr">
        <is>
          <t>Aura KPI</t>
        </is>
      </c>
      <c r="B15" s="8" t="inlineStr">
        <is>
          <t>aura-kpi (C:\Aura\aura-kpi)</t>
        </is>
      </c>
      <c r="C15" s="11" t="inlineStr">
        <is>
          <t>2.4</t>
        </is>
      </c>
      <c r="D15" s="11" t="inlineStr">
        <is>
          <t>#kpi/analyza</t>
        </is>
      </c>
      <c r="E15" s="8" t="inlineStr">
        <is>
          <t>Analýza</t>
        </is>
      </c>
      <c r="F15" s="8" t="inlineStr">
        <is>
          <t>heatmapa + A/B</t>
        </is>
      </c>
    </row>
    <row r="16">
      <c r="A16" s="6" t="inlineStr">
        <is>
          <t>Aura KPI</t>
        </is>
      </c>
      <c r="B16" s="8" t="inlineStr">
        <is>
          <t>aura-kpi (C:\Aura\aura-kpi)</t>
        </is>
      </c>
      <c r="C16" s="11" t="inlineStr">
        <is>
          <t>2.5</t>
        </is>
      </c>
      <c r="D16" s="11" t="inlineStr">
        <is>
          <t>#kpi/rok</t>
        </is>
      </c>
      <c r="E16" s="8" t="inlineStr">
        <is>
          <t>Rok</t>
        </is>
      </c>
      <c r="F16" s="8" t="inlineStr">
        <is>
          <t>tabuľka (7 riadkov)</t>
        </is>
      </c>
    </row>
    <row r="17">
      <c r="A17" s="6" t="inlineStr">
        <is>
          <t>Aura KPI</t>
        </is>
      </c>
      <c r="B17" s="8" t="inlineStr">
        <is>
          <t>aura-kpi (C:\Aura\aura-kpi)</t>
        </is>
      </c>
      <c r="C17" s="11" t="inlineStr">
        <is>
          <t>2.6</t>
        </is>
      </c>
      <c r="D17" s="11" t="inlineStr">
        <is>
          <t>#kpi/missing</t>
        </is>
      </c>
      <c r="E17" s="8" t="inlineStr">
        <is>
          <t>Na doplnenie</t>
        </is>
      </c>
      <c r="F17" s="8" t="inlineStr">
        <is>
          <t>tabuľka (6 riadkov)</t>
        </is>
      </c>
    </row>
    <row r="18">
      <c r="A18" s="6" t="inlineStr">
        <is>
          <t>Aura KPI</t>
        </is>
      </c>
      <c r="B18" s="8" t="inlineStr">
        <is>
          <t>aura-kpi (C:\Aura\aura-kpi)</t>
        </is>
      </c>
      <c r="C18" s="11" t="inlineStr">
        <is>
          <t>2.7</t>
        </is>
      </c>
      <c r="D18" s="11" t="inlineStr">
        <is>
          <t>#kpi/seo</t>
        </is>
      </c>
      <c r="E18" s="8" t="inlineStr">
        <is>
          <t>SEO porada</t>
        </is>
      </c>
      <c r="F18" s="8" t="inlineStr">
        <is>
          <t>tabuľka (12 riadkov)</t>
        </is>
      </c>
    </row>
    <row r="19">
      <c r="A19" s="6" t="inlineStr">
        <is>
          <t>Aura KPI</t>
        </is>
      </c>
      <c r="B19" s="8" t="inlineStr">
        <is>
          <t>aura-kpi (C:\Aura\aura-kpi)</t>
        </is>
      </c>
      <c r="C19" s="11" t="inlineStr">
        <is>
          <t>2.8</t>
        </is>
      </c>
      <c r="D19" s="11" t="inlineStr">
        <is>
          <t>#kpi/detail</t>
        </is>
      </c>
      <c r="E19" s="8" t="inlineStr">
        <is>
          <t>Detail oddelenia</t>
        </is>
      </c>
      <c r="F19" s="8" t="inlineStr">
        <is>
          <t>detail</t>
        </is>
      </c>
    </row>
    <row r="20">
      <c r="A20" s="6" t="inlineStr">
        <is>
          <t>Aura KPI</t>
        </is>
      </c>
      <c r="B20" s="8" t="inlineStr">
        <is>
          <t>aura-kpi (C:\Aura\aura-kpi)</t>
        </is>
      </c>
      <c r="C20" s="11" t="inlineStr">
        <is>
          <t>2.9</t>
        </is>
      </c>
      <c r="D20" s="11" t="inlineStr">
        <is>
          <t>#kpi/settings</t>
        </is>
      </c>
      <c r="E20" s="8" t="inlineStr">
        <is>
          <t>Nastavenia</t>
        </is>
      </c>
      <c r="F20" s="8" t="inlineStr">
        <is>
          <t>nastavenia</t>
        </is>
      </c>
    </row>
    <row r="21">
      <c r="A21" s="6" t="inlineStr">
        <is>
          <t>Aura Logistika</t>
        </is>
      </c>
      <c r="B21" s="8" t="inlineStr">
        <is>
          <t>aura-logistika (C:\Aura\aura-logistika)</t>
        </is>
      </c>
      <c r="C21" s="11" t="inlineStr">
        <is>
          <t>3.1</t>
        </is>
      </c>
      <c r="D21" s="11" t="inlineStr">
        <is>
          <t>#logistika/intro</t>
        </is>
      </c>
      <c r="E21" s="8" t="inlineStr">
        <is>
          <t>Intro modulu</t>
        </is>
      </c>
      <c r="F21" s="8" t="inlineStr">
        <is>
          <t>intro</t>
        </is>
      </c>
    </row>
    <row r="22">
      <c r="A22" s="6" t="inlineStr">
        <is>
          <t>Aura Logistika</t>
        </is>
      </c>
      <c r="B22" s="8" t="inlineStr">
        <is>
          <t>aura-logistika (C:\Aura\aura-logistika)</t>
        </is>
      </c>
      <c r="C22" s="11" t="inlineStr">
        <is>
          <t>3.2</t>
        </is>
      </c>
      <c r="D22" s="11" t="inlineStr">
        <is>
          <t>#logistika/dashboard</t>
        </is>
      </c>
      <c r="E22" s="8" t="inlineStr">
        <is>
          <t>Prehľad</t>
        </is>
      </c>
      <c r="F22" s="8" t="inlineStr">
        <is>
          <t>dashboard</t>
        </is>
      </c>
    </row>
    <row r="23">
      <c r="A23" s="6" t="inlineStr">
        <is>
          <t>Aura Logistika</t>
        </is>
      </c>
      <c r="B23" s="8" t="inlineStr">
        <is>
          <t>aura-logistika (C:\Aura\aura-logistika)</t>
        </is>
      </c>
      <c r="C23" s="11" t="inlineStr">
        <is>
          <t>3.3</t>
        </is>
      </c>
      <c r="D23" s="11" t="inlineStr">
        <is>
          <t>#logistika/list</t>
        </is>
      </c>
      <c r="E23" s="8" t="inlineStr">
        <is>
          <t>Zásielky</t>
        </is>
      </c>
      <c r="F23" s="8" t="inlineStr">
        <is>
          <t>zoznam (6 riadkov)</t>
        </is>
      </c>
    </row>
    <row r="24">
      <c r="A24" s="6" t="inlineStr">
        <is>
          <t>Aura Logistika</t>
        </is>
      </c>
      <c r="B24" s="8" t="inlineStr">
        <is>
          <t>aura-logistika (C:\Aura\aura-logistika)</t>
        </is>
      </c>
      <c r="C24" s="11" t="inlineStr">
        <is>
          <t>3.4</t>
        </is>
      </c>
      <c r="D24" s="11" t="inlineStr">
        <is>
          <t>#logistika/claims</t>
        </is>
      </c>
      <c r="E24" s="8" t="inlineStr">
        <is>
          <t>Reklamácie</t>
        </is>
      </c>
      <c r="F24" s="8" t="inlineStr">
        <is>
          <t>tabuľka</t>
        </is>
      </c>
    </row>
    <row r="25">
      <c r="A25" s="6" t="inlineStr">
        <is>
          <t>Aura Logistika</t>
        </is>
      </c>
      <c r="B25" s="8" t="inlineStr">
        <is>
          <t>aura-logistika (C:\Aura\aura-logistika)</t>
        </is>
      </c>
      <c r="C25" s="11" t="inlineStr">
        <is>
          <t>3.5</t>
        </is>
      </c>
      <c r="D25" s="11" t="inlineStr">
        <is>
          <t>#logistika/vyvoj</t>
        </is>
      </c>
      <c r="E25" s="8" t="inlineStr">
        <is>
          <t>Vývoj</t>
        </is>
      </c>
      <c r="F25" s="8" t="inlineStr">
        <is>
          <t>graf trendu</t>
        </is>
      </c>
    </row>
    <row r="26">
      <c r="A26" s="6" t="inlineStr">
        <is>
          <t>Aura Logistika</t>
        </is>
      </c>
      <c r="B26" s="8" t="inlineStr">
        <is>
          <t>aura-logistika (C:\Aura\aura-logistika)</t>
        </is>
      </c>
      <c r="C26" s="11" t="inlineStr">
        <is>
          <t>3.6</t>
        </is>
      </c>
      <c r="D26" s="11" t="inlineStr">
        <is>
          <t>#logistika/detail</t>
        </is>
      </c>
      <c r="E26" s="8" t="inlineStr">
        <is>
          <t>Detail zásielky</t>
        </is>
      </c>
      <c r="F26" s="8" t="inlineStr">
        <is>
          <t>detail</t>
        </is>
      </c>
    </row>
    <row r="27">
      <c r="A27" s="6" t="inlineStr">
        <is>
          <t>Aura Logistika</t>
        </is>
      </c>
      <c r="B27" s="8" t="inlineStr">
        <is>
          <t>aura-logistika (C:\Aura\aura-logistika)</t>
        </is>
      </c>
      <c r="C27" s="11" t="inlineStr">
        <is>
          <t>3.7</t>
        </is>
      </c>
      <c r="D27" s="11" t="inlineStr">
        <is>
          <t>#logistika/settings</t>
        </is>
      </c>
      <c r="E27" s="8" t="inlineStr">
        <is>
          <t>Nastavenia</t>
        </is>
      </c>
      <c r="F27" s="8" t="inlineStr">
        <is>
          <t>nastavenia</t>
        </is>
      </c>
    </row>
    <row r="28">
      <c r="A28" s="6" t="inlineStr">
        <is>
          <t>Aura HR</t>
        </is>
      </c>
      <c r="B28" s="8" t="inlineStr">
        <is>
          <t>aura-hr-mapa (interná evidencia)</t>
        </is>
      </c>
      <c r="C28" s="11" t="inlineStr">
        <is>
          <t>4.1</t>
        </is>
      </c>
      <c r="D28" s="11" t="inlineStr">
        <is>
          <t>#hr/intro</t>
        </is>
      </c>
      <c r="E28" s="8" t="inlineStr">
        <is>
          <t>Intro modulu</t>
        </is>
      </c>
      <c r="F28" s="8" t="inlineStr">
        <is>
          <t>intro</t>
        </is>
      </c>
    </row>
    <row r="29">
      <c r="A29" s="6" t="inlineStr">
        <is>
          <t>Aura HR</t>
        </is>
      </c>
      <c r="B29" s="8" t="inlineStr">
        <is>
          <t>aura-hr-mapa (interná evidencia)</t>
        </is>
      </c>
      <c r="C29" s="11" t="inlineStr">
        <is>
          <t>4.2</t>
        </is>
      </c>
      <c r="D29" s="11" t="inlineStr">
        <is>
          <t>#hr/dashboard</t>
        </is>
      </c>
      <c r="E29" s="8" t="inlineStr">
        <is>
          <t>Prehľad</t>
        </is>
      </c>
      <c r="F29" s="8" t="inlineStr">
        <is>
          <t>dashboard</t>
        </is>
      </c>
    </row>
    <row r="30">
      <c r="A30" s="6" t="inlineStr">
        <is>
          <t>Aura HR</t>
        </is>
      </c>
      <c r="B30" s="8" t="inlineStr">
        <is>
          <t>aura-hr-mapa (interná evidencia)</t>
        </is>
      </c>
      <c r="C30" s="11" t="inlineStr">
        <is>
          <t>4.3</t>
        </is>
      </c>
      <c r="D30" s="11" t="inlineStr">
        <is>
          <t>#hr/list</t>
        </is>
      </c>
      <c r="E30" s="8" t="inlineStr">
        <is>
          <t>Zamestnanci</t>
        </is>
      </c>
      <c r="F30" s="8" t="inlineStr">
        <is>
          <t>zoznam (6 riadkov)</t>
        </is>
      </c>
    </row>
    <row r="31">
      <c r="A31" s="6" t="inlineStr">
        <is>
          <t>Aura HR</t>
        </is>
      </c>
      <c r="B31" s="8" t="inlineStr">
        <is>
          <t>aura-hr-mapa (interná evidencia)</t>
        </is>
      </c>
      <c r="C31" s="11" t="inlineStr">
        <is>
          <t>4.4</t>
        </is>
      </c>
      <c r="D31" s="11" t="inlineStr">
        <is>
          <t>#hr/pozicie</t>
        </is>
      </c>
      <c r="E31" s="8" t="inlineStr">
        <is>
          <t>Pozície</t>
        </is>
      </c>
      <c r="F31" s="8" t="inlineStr">
        <is>
          <t>tabuľka (6 riadkov)</t>
        </is>
      </c>
    </row>
    <row r="32">
      <c r="A32" s="6" t="inlineStr">
        <is>
          <t>Aura HR</t>
        </is>
      </c>
      <c r="B32" s="8" t="inlineStr">
        <is>
          <t>aura-hr-mapa (interná evidencia)</t>
        </is>
      </c>
      <c r="C32" s="11" t="inlineStr">
        <is>
          <t>4.5</t>
        </is>
      </c>
      <c r="D32" s="11" t="inlineStr">
        <is>
          <t>#hr/maily</t>
        </is>
      </c>
      <c r="E32" s="8" t="inlineStr">
        <is>
          <t>Maily</t>
        </is>
      </c>
      <c r="F32" s="8" t="inlineStr">
        <is>
          <t>tabuľka (10 riadkov)</t>
        </is>
      </c>
    </row>
    <row r="33">
      <c r="A33" s="6" t="inlineStr">
        <is>
          <t>Aura HR</t>
        </is>
      </c>
      <c r="B33" s="8" t="inlineStr">
        <is>
          <t>aura-hr-mapa (interná evidencia)</t>
        </is>
      </c>
      <c r="C33" s="11" t="inlineStr">
        <is>
          <t>4.6</t>
        </is>
      </c>
      <c r="D33" s="11" t="inlineStr">
        <is>
          <t>#hr/aplikacie</t>
        </is>
      </c>
      <c r="E33" s="8" t="inlineStr">
        <is>
          <t>Aplikácie</t>
        </is>
      </c>
      <c r="F33" s="8" t="inlineStr">
        <is>
          <t>tabuľka (8 riadkov)</t>
        </is>
      </c>
    </row>
    <row r="34">
      <c r="A34" s="6" t="inlineStr">
        <is>
          <t>Aura HR</t>
        </is>
      </c>
      <c r="B34" s="8" t="inlineStr">
        <is>
          <t>aura-hr-mapa (interná evidencia)</t>
        </is>
      </c>
      <c r="C34" s="11" t="inlineStr">
        <is>
          <t>4.7</t>
        </is>
      </c>
      <c r="D34" s="11" t="inlineStr">
        <is>
          <t>#hr/org</t>
        </is>
      </c>
      <c r="E34" s="8" t="inlineStr">
        <is>
          <t>Org-strom</t>
        </is>
      </c>
      <c r="F34" s="8" t="inlineStr">
        <is>
          <t>tabuľka (8 riadkov)</t>
        </is>
      </c>
    </row>
    <row r="35">
      <c r="A35" s="6" t="inlineStr">
        <is>
          <t>Aura HR</t>
        </is>
      </c>
      <c r="B35" s="8" t="inlineStr">
        <is>
          <t>aura-hr-mapa (interná evidencia)</t>
        </is>
      </c>
      <c r="C35" s="11" t="inlineStr">
        <is>
          <t>4.8</t>
        </is>
      </c>
      <c r="D35" s="11" t="inlineStr">
        <is>
          <t>#hr/detail</t>
        </is>
      </c>
      <c r="E35" s="8" t="inlineStr">
        <is>
          <t>Detail zamestnanca</t>
        </is>
      </c>
      <c r="F35" s="8" t="inlineStr">
        <is>
          <t>detail</t>
        </is>
      </c>
    </row>
    <row r="36">
      <c r="A36" s="6" t="inlineStr">
        <is>
          <t>Aura HR</t>
        </is>
      </c>
      <c r="B36" s="8" t="inlineStr">
        <is>
          <t>aura-hr-mapa (interná evidencia)</t>
        </is>
      </c>
      <c r="C36" s="11" t="inlineStr">
        <is>
          <t>4.9</t>
        </is>
      </c>
      <c r="D36" s="11" t="inlineStr">
        <is>
          <t>#hr/settings</t>
        </is>
      </c>
      <c r="E36" s="8" t="inlineStr">
        <is>
          <t>Nastavenia</t>
        </is>
      </c>
      <c r="F36" s="8" t="inlineStr">
        <is>
          <t>nastavenia</t>
        </is>
      </c>
    </row>
    <row r="37">
      <c r="A37" s="6" t="inlineStr">
        <is>
          <t>Aura Roadmap</t>
        </is>
      </c>
      <c r="B37" s="8" t="inlineStr">
        <is>
          <t>aura-roadmap (C:\Aura\aura-roadmap)</t>
        </is>
      </c>
      <c r="C37" s="11" t="inlineStr">
        <is>
          <t>5.1</t>
        </is>
      </c>
      <c r="D37" s="11" t="inlineStr">
        <is>
          <t>#roadmap/intro</t>
        </is>
      </c>
      <c r="E37" s="8" t="inlineStr">
        <is>
          <t>Intro modulu</t>
        </is>
      </c>
      <c r="F37" s="8" t="inlineStr">
        <is>
          <t>intro</t>
        </is>
      </c>
    </row>
    <row r="38">
      <c r="A38" s="6" t="inlineStr">
        <is>
          <t>Aura Roadmap</t>
        </is>
      </c>
      <c r="B38" s="8" t="inlineStr">
        <is>
          <t>aura-roadmap (C:\Aura\aura-roadmap)</t>
        </is>
      </c>
      <c r="C38" s="11" t="inlineStr">
        <is>
          <t>5.2</t>
        </is>
      </c>
      <c r="D38" s="11" t="inlineStr">
        <is>
          <t>#roadmap/dashboard</t>
        </is>
      </c>
      <c r="E38" s="8" t="inlineStr">
        <is>
          <t>Prehľad</t>
        </is>
      </c>
      <c r="F38" s="8" t="inlineStr">
        <is>
          <t>dashboard</t>
        </is>
      </c>
    </row>
    <row r="39">
      <c r="A39" s="6" t="inlineStr">
        <is>
          <t>Aura Roadmap</t>
        </is>
      </c>
      <c r="B39" s="8" t="inlineStr">
        <is>
          <t>aura-roadmap (C:\Aura\aura-roadmap)</t>
        </is>
      </c>
      <c r="C39" s="11" t="inlineStr">
        <is>
          <t>5.3</t>
        </is>
      </c>
      <c r="D39" s="11" t="inlineStr">
        <is>
          <t>#roadmap/list</t>
        </is>
      </c>
      <c r="E39" s="8" t="inlineStr">
        <is>
          <t>Úlohy</t>
        </is>
      </c>
      <c r="F39" s="8" t="inlineStr">
        <is>
          <t>zoznam (6 riadkov)</t>
        </is>
      </c>
    </row>
    <row r="40">
      <c r="A40" s="6" t="inlineStr">
        <is>
          <t>Aura Roadmap</t>
        </is>
      </c>
      <c r="B40" s="8" t="inlineStr">
        <is>
          <t>aura-roadmap (C:\Aura\aura-roadmap)</t>
        </is>
      </c>
      <c r="C40" s="11" t="inlineStr">
        <is>
          <t>5.4</t>
        </is>
      </c>
      <c r="D40" s="11" t="inlineStr">
        <is>
          <t>#roadmap/timeline</t>
        </is>
      </c>
      <c r="E40" s="8" t="inlineStr">
        <is>
          <t>Timeline</t>
        </is>
      </c>
      <c r="F40" s="8" t="inlineStr">
        <is>
          <t>timeline (5 riadkov)</t>
        </is>
      </c>
    </row>
    <row r="41">
      <c r="A41" s="6" t="inlineStr">
        <is>
          <t>Aura Roadmap</t>
        </is>
      </c>
      <c r="B41" s="8" t="inlineStr">
        <is>
          <t>aura-roadmap (C:\Aura\aura-roadmap)</t>
        </is>
      </c>
      <c r="C41" s="11" t="inlineStr">
        <is>
          <t>5.5</t>
        </is>
      </c>
      <c r="D41" s="11" t="inlineStr">
        <is>
          <t>#roadmap/projekty</t>
        </is>
      </c>
      <c r="E41" s="8" t="inlineStr">
        <is>
          <t>Projekty</t>
        </is>
      </c>
      <c r="F41" s="8" t="inlineStr">
        <is>
          <t>tabuľka (6 riadkov)</t>
        </is>
      </c>
    </row>
    <row r="42">
      <c r="A42" s="6" t="inlineStr">
        <is>
          <t>Aura Roadmap</t>
        </is>
      </c>
      <c r="B42" s="8" t="inlineStr">
        <is>
          <t>aura-roadmap (C:\Aura\aura-roadmap)</t>
        </is>
      </c>
      <c r="C42" s="11" t="inlineStr">
        <is>
          <t>5.6</t>
        </is>
      </c>
      <c r="D42" s="11" t="inlineStr">
        <is>
          <t>#roadmap/rozhodnutia</t>
        </is>
      </c>
      <c r="E42" s="8" t="inlineStr">
        <is>
          <t>Rozhodnutia</t>
        </is>
      </c>
      <c r="F42" s="8" t="inlineStr">
        <is>
          <t>tabuľka (5 riadkov)</t>
        </is>
      </c>
    </row>
    <row r="43">
      <c r="A43" s="6" t="inlineStr">
        <is>
          <t>Aura Roadmap</t>
        </is>
      </c>
      <c r="B43" s="8" t="inlineStr">
        <is>
          <t>aura-roadmap (C:\Aura\aura-roadmap)</t>
        </is>
      </c>
      <c r="C43" s="11" t="inlineStr">
        <is>
          <t>5.7</t>
        </is>
      </c>
      <c r="D43" s="11" t="inlineStr">
        <is>
          <t>#roadmap/detail</t>
        </is>
      </c>
      <c r="E43" s="8" t="inlineStr">
        <is>
          <t>Detail úlohy</t>
        </is>
      </c>
      <c r="F43" s="8" t="inlineStr">
        <is>
          <t>detail</t>
        </is>
      </c>
    </row>
    <row r="44">
      <c r="A44" s="6" t="inlineStr">
        <is>
          <t>Aura Roadmap</t>
        </is>
      </c>
      <c r="B44" s="8" t="inlineStr">
        <is>
          <t>aura-roadmap (C:\Aura\aura-roadmap)</t>
        </is>
      </c>
      <c r="C44" s="11" t="inlineStr">
        <is>
          <t>5.8</t>
        </is>
      </c>
      <c r="D44" s="11" t="inlineStr">
        <is>
          <t>#roadmap/settings</t>
        </is>
      </c>
      <c r="E44" s="8" t="inlineStr">
        <is>
          <t>Nastavenia</t>
        </is>
      </c>
      <c r="F44" s="8" t="inlineStr">
        <is>
          <t>nastavenia</t>
        </is>
      </c>
    </row>
    <row r="45">
      <c r="A45" s="6" t="inlineStr">
        <is>
          <t>Aura Tržby</t>
        </is>
      </c>
      <c r="B45" s="8" t="inlineStr">
        <is>
          <t>dnes statický HTML report · appka zatiaľ neexistuje</t>
        </is>
      </c>
      <c r="C45" s="11" t="inlineStr">
        <is>
          <t>6.1</t>
        </is>
      </c>
      <c r="D45" s="11" t="inlineStr">
        <is>
          <t>#trzby/intro</t>
        </is>
      </c>
      <c r="E45" s="8" t="inlineStr">
        <is>
          <t>Intro modulu</t>
        </is>
      </c>
      <c r="F45" s="8" t="inlineStr">
        <is>
          <t>intro</t>
        </is>
      </c>
    </row>
    <row r="46">
      <c r="A46" s="6" t="inlineStr">
        <is>
          <t>Aura Tržby</t>
        </is>
      </c>
      <c r="B46" s="8" t="inlineStr">
        <is>
          <t>dnes statický HTML report · appka zatiaľ neexistuje</t>
        </is>
      </c>
      <c r="C46" s="11" t="inlineStr">
        <is>
          <t>6.2</t>
        </is>
      </c>
      <c r="D46" s="11" t="inlineStr">
        <is>
          <t>#trzby/dashboard</t>
        </is>
      </c>
      <c r="E46" s="8" t="inlineStr">
        <is>
          <t>Prehľad</t>
        </is>
      </c>
      <c r="F46" s="8" t="inlineStr">
        <is>
          <t>dashboard</t>
        </is>
      </c>
    </row>
    <row r="47">
      <c r="A47" s="6" t="inlineStr">
        <is>
          <t>Aura Tržby</t>
        </is>
      </c>
      <c r="B47" s="8" t="inlineStr">
        <is>
          <t>dnes statický HTML report · appka zatiaľ neexistuje</t>
        </is>
      </c>
      <c r="C47" s="11" t="inlineStr">
        <is>
          <t>6.3</t>
        </is>
      </c>
      <c r="D47" s="11" t="inlineStr">
        <is>
          <t>#trzby/list</t>
        </is>
      </c>
      <c r="E47" s="8" t="inlineStr">
        <is>
          <t>Segmenty</t>
        </is>
      </c>
      <c r="F47" s="8" t="inlineStr">
        <is>
          <t>zoznam (6 riadkov)</t>
        </is>
      </c>
    </row>
    <row r="48">
      <c r="A48" s="6" t="inlineStr">
        <is>
          <t>Aura Tržby</t>
        </is>
      </c>
      <c r="B48" s="8" t="inlineStr">
        <is>
          <t>dnes statický HTML report · appka zatiaľ neexistuje</t>
        </is>
      </c>
      <c r="C48" s="11" t="inlineStr">
        <is>
          <t>6.4</t>
        </is>
      </c>
      <c r="D48" s="11" t="inlineStr">
        <is>
          <t>#trzby/trhy</t>
        </is>
      </c>
      <c r="E48" s="8" t="inlineStr">
        <is>
          <t>Trhy</t>
        </is>
      </c>
      <c r="F48" s="8" t="inlineStr">
        <is>
          <t>tabuľka (6 riadkov)</t>
        </is>
      </c>
    </row>
    <row r="49">
      <c r="A49" s="6" t="inlineStr">
        <is>
          <t>Aura Tržby</t>
        </is>
      </c>
      <c r="B49" s="8" t="inlineStr">
        <is>
          <t>dnes statický HTML report · appka zatiaľ neexistuje</t>
        </is>
      </c>
      <c r="C49" s="11" t="inlineStr">
        <is>
          <t>6.5</t>
        </is>
      </c>
      <c r="D49" s="11" t="inlineStr">
        <is>
          <t>#trzby/expedicia</t>
        </is>
      </c>
      <c r="E49" s="8" t="inlineStr">
        <is>
          <t>Expedícia</t>
        </is>
      </c>
      <c r="F49" s="8" t="inlineStr">
        <is>
          <t>tabuľka (4 riadky)</t>
        </is>
      </c>
    </row>
    <row r="50">
      <c r="A50" s="6" t="inlineStr">
        <is>
          <t>Aura Tržby</t>
        </is>
      </c>
      <c r="B50" s="8" t="inlineStr">
        <is>
          <t>dnes statický HTML report · appka zatiaľ neexistuje</t>
        </is>
      </c>
      <c r="C50" s="11" t="inlineStr">
        <is>
          <t>6.6</t>
        </is>
      </c>
      <c r="D50" s="11" t="inlineStr">
        <is>
          <t>#trzby/hodiny</t>
        </is>
      </c>
      <c r="E50" s="8" t="inlineStr">
        <is>
          <t>Hodiny a dni</t>
        </is>
      </c>
      <c r="F50" s="8" t="inlineStr">
        <is>
          <t>grafy</t>
        </is>
      </c>
    </row>
    <row r="51">
      <c r="A51" s="6" t="inlineStr">
        <is>
          <t>Aura Tržby</t>
        </is>
      </c>
      <c r="B51" s="8" t="inlineStr">
        <is>
          <t>dnes statický HTML report · appka zatiaľ neexistuje</t>
        </is>
      </c>
      <c r="C51" s="11" t="inlineStr">
        <is>
          <t>6.7</t>
        </is>
      </c>
      <c r="D51" s="11" t="inlineStr">
        <is>
          <t>#trzby/kose</t>
        </is>
      </c>
      <c r="E51" s="8" t="inlineStr">
        <is>
          <t>Koše</t>
        </is>
      </c>
      <c r="F51" s="8" t="inlineStr">
        <is>
          <t>tabuľka (4 riadky)</t>
        </is>
      </c>
    </row>
    <row r="52">
      <c r="A52" s="6" t="inlineStr">
        <is>
          <t>Aura Tržby</t>
        </is>
      </c>
      <c r="B52" s="8" t="inlineStr">
        <is>
          <t>dnes statický HTML report · appka zatiaľ neexistuje</t>
        </is>
      </c>
      <c r="C52" s="11" t="inlineStr">
        <is>
          <t>6.8</t>
        </is>
      </c>
      <c r="D52" s="11" t="inlineStr">
        <is>
          <t>#trzby/definicie</t>
        </is>
      </c>
      <c r="E52" s="8" t="inlineStr">
        <is>
          <t>Definície</t>
        </is>
      </c>
      <c r="F52" s="8" t="inlineStr">
        <is>
          <t>tabuľka (3 riadky)</t>
        </is>
      </c>
    </row>
    <row r="53">
      <c r="A53" s="6" t="inlineStr">
        <is>
          <t>Aura Tržby</t>
        </is>
      </c>
      <c r="B53" s="8" t="inlineStr">
        <is>
          <t>dnes statický HTML report · appka zatiaľ neexistuje</t>
        </is>
      </c>
      <c r="C53" s="11" t="inlineStr">
        <is>
          <t>6.9</t>
        </is>
      </c>
      <c r="D53" s="11" t="inlineStr">
        <is>
          <t>#trzby/detail</t>
        </is>
      </c>
      <c r="E53" s="8" t="inlineStr">
        <is>
          <t>Detail segmentu</t>
        </is>
      </c>
      <c r="F53" s="8" t="inlineStr">
        <is>
          <t>detail</t>
        </is>
      </c>
    </row>
    <row r="54">
      <c r="A54" s="6" t="inlineStr">
        <is>
          <t>Aura Tržby</t>
        </is>
      </c>
      <c r="B54" s="8" t="inlineStr">
        <is>
          <t>dnes statický HTML report · appka zatiaľ neexistuje</t>
        </is>
      </c>
      <c r="C54" s="11" t="inlineStr">
        <is>
          <t>6.10</t>
        </is>
      </c>
      <c r="D54" s="11" t="inlineStr">
        <is>
          <t>#trzby/settings</t>
        </is>
      </c>
      <c r="E54" s="8" t="inlineStr">
        <is>
          <t>Nastavenia</t>
        </is>
      </c>
      <c r="F54" s="8" t="inlineStr">
        <is>
          <t>nastavenia</t>
        </is>
      </c>
    </row>
    <row r="55">
      <c r="A55" s="6" t="inlineStr">
        <is>
          <t>Globálne</t>
        </is>
      </c>
      <c r="B55" s="8" t="inlineStr">
        <is>
          <t>mockup Aura Suite</t>
        </is>
      </c>
      <c r="C55" s="11" t="inlineStr">
        <is>
          <t>0.1</t>
        </is>
      </c>
      <c r="D55" s="11" t="inlineStr">
        <is>
          <t>#hub</t>
        </is>
      </c>
      <c r="E55" s="8" t="inlineStr">
        <is>
          <t>Rozcestník (hub)</t>
        </is>
      </c>
      <c r="F55" s="8" t="inlineStr">
        <is>
          <t>6 kariet modulov s live metrikami a pásom alertov</t>
        </is>
      </c>
    </row>
    <row r="56">
      <c r="A56" s="6" t="inlineStr">
        <is>
          <t>Globálne</t>
        </is>
      </c>
      <c r="B56" s="8" t="inlineStr">
        <is>
          <t>mockup Aura Suite</t>
        </is>
      </c>
      <c r="C56" s="11" t="inlineStr">
        <is>
          <t>0.2</t>
        </is>
      </c>
      <c r="D56" s="11" t="inlineStr">
        <is>
          <t>#login</t>
        </is>
      </c>
      <c r="E56" s="8" t="inlineStr">
        <is>
          <t>Login</t>
        </is>
      </c>
      <c r="F56" s="8" t="inlineStr">
        <is>
          <t>vstupná obrazovka</t>
        </is>
      </c>
    </row>
    <row r="57">
      <c r="A57" s="6" t="inlineStr">
        <is>
          <t>Globálne</t>
        </is>
      </c>
      <c r="B57" s="8" t="inlineStr">
        <is>
          <t>mockup Aura Suite</t>
        </is>
      </c>
      <c r="C57" s="11" t="inlineStr">
        <is>
          <t>0.3</t>
        </is>
      </c>
      <c r="D57" s="11" t="inlineStr">
        <is>
          <t>#workspace</t>
        </is>
      </c>
      <c r="E57" s="8" t="inlineStr">
        <is>
          <t>Workspace</t>
        </is>
      </c>
      <c r="F57" s="8" t="inlineStr">
        <is>
          <t>výber pracovného priestoru</t>
        </is>
      </c>
    </row>
    <row r="58">
      <c r="A58" s="6" t="inlineStr">
        <is>
          <t>Globálne</t>
        </is>
      </c>
      <c r="B58" s="8" t="inlineStr">
        <is>
          <t>mockup Aura Suite</t>
        </is>
      </c>
      <c r="C58" s="11" t="inlineStr">
        <is>
          <t>0.4</t>
        </is>
      </c>
      <c r="D58" s="11" t="inlineStr">
        <is>
          <t>#profile</t>
        </is>
      </c>
      <c r="E58" s="8" t="inlineStr">
        <is>
          <t>Profil</t>
        </is>
      </c>
      <c r="F58" s="8" t="inlineStr">
        <is>
          <t>profilová stránka používateľa</t>
        </is>
      </c>
    </row>
    <row r="60">
      <c r="A60" s="15" t="inlineStr">
        <is>
          <t>Spolu obrazoviek</t>
        </is>
      </c>
      <c r="C60" s="23">
        <f>COUNTA(E5:E58)</f>
        <v/>
      </c>
      <c r="E60" s="3">
        <f>COUNTIF(A5:A58,"Globálne")&amp;" globálnych"</f>
        <v/>
      </c>
    </row>
  </sheetData>
  <mergeCells count="1">
    <mergeCell ref="A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3797E"/>
    <outlinePr summaryBelow="1" summaryRight="1"/>
    <pageSetUpPr/>
  </sheetPr>
  <dimension ref="A1:G24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12" customWidth="1" min="4" max="4"/>
    <col width="12" customWidth="1" min="5" max="5"/>
    <col width="30" customWidth="1" min="6" max="6"/>
    <col width="16" customWidth="1" min="7" max="7"/>
  </cols>
  <sheetData>
    <row r="1" ht="22" customHeight="1">
      <c r="A1" s="22" t="inlineStr">
        <is>
          <t>Náklady</t>
        </is>
      </c>
    </row>
    <row r="2" ht="26" customHeight="1">
      <c r="A2" s="16" t="inlineStr">
        <is>
          <t>Vlastné Aura appky nemajú licenčný náklad — bežia na vlastnom hardware v Dockeri. Register externých SaaS je z obrazovky HR → Aplikácie; sumy sú tam označené ako čiastočne ukážkové.</t>
        </is>
      </c>
    </row>
    <row r="4">
      <c r="A4" s="4" t="inlineStr">
        <is>
          <t>Externé SaaS aplikácie</t>
        </is>
      </c>
    </row>
    <row r="5" ht="30" customHeight="1">
      <c r="A5" s="5" t="inlineStr">
        <is>
          <t>Aplikácia</t>
        </is>
      </c>
      <c r="B5" s="5" t="inlineStr">
        <is>
          <t>Účel</t>
        </is>
      </c>
      <c r="C5" s="5" t="inlineStr">
        <is>
          <t>Vlastník</t>
        </is>
      </c>
      <c r="D5" s="5" t="inlineStr">
        <is>
          <t>€ / mes.</t>
        </is>
      </c>
      <c r="E5" s="5" t="inlineStr">
        <is>
          <t>Licencie</t>
        </is>
      </c>
      <c r="F5" s="5" t="inlineStr">
        <is>
          <t>Stav</t>
        </is>
      </c>
      <c r="G5" s="5" t="inlineStr">
        <is>
          <t>Overenie</t>
        </is>
      </c>
    </row>
    <row r="6">
      <c r="A6" s="6" t="inlineStr">
        <is>
          <t>Asana</t>
        </is>
      </c>
      <c r="B6" s="8" t="inlineStr">
        <is>
          <t>Projekty a úlohy</t>
        </is>
      </c>
      <c r="C6" s="8" t="inlineStr">
        <is>
          <t>Delaja</t>
        </is>
      </c>
      <c r="D6" s="24" t="n">
        <v>280</v>
      </c>
      <c r="E6" s="8" t="n">
        <v>15</v>
      </c>
      <c r="F6" s="12" t="inlineStr">
        <is>
          <t>aktívna</t>
        </is>
      </c>
      <c r="G6" s="21" t="inlineStr">
        <is>
          <t>ukážkové</t>
        </is>
      </c>
    </row>
    <row r="7">
      <c r="A7" s="6" t="inlineStr">
        <is>
          <t>Shoptet</t>
        </is>
      </c>
      <c r="B7" s="8" t="inlineStr">
        <is>
          <t>E-shop platforma</t>
        </is>
      </c>
      <c r="C7" s="8" t="inlineStr">
        <is>
          <t>Delaja</t>
        </is>
      </c>
      <c r="D7" s="24" t="n">
        <v>240</v>
      </c>
      <c r="E7" s="8" t="n">
        <v>1</v>
      </c>
      <c r="F7" s="12" t="inlineStr">
        <is>
          <t>aktívna</t>
        </is>
      </c>
      <c r="G7" s="21" t="inlineStr">
        <is>
          <t>ukážkové</t>
        </is>
      </c>
    </row>
    <row r="8">
      <c r="A8" s="6" t="inlineStr">
        <is>
          <t>Ahrefs</t>
        </is>
      </c>
      <c r="B8" s="8" t="inlineStr">
        <is>
          <t>SEO analýza</t>
        </is>
      </c>
      <c r="C8" s="8" t="inlineStr">
        <is>
          <t>Gabika</t>
        </is>
      </c>
      <c r="D8" s="24" t="n">
        <v>220</v>
      </c>
      <c r="E8" s="8" t="n">
        <v>1</v>
      </c>
      <c r="F8" s="12" t="inlineStr">
        <is>
          <t>aktívna</t>
        </is>
      </c>
      <c r="G8" s="21" t="inlineStr">
        <is>
          <t>ukážkové</t>
        </is>
      </c>
    </row>
    <row r="9">
      <c r="A9" s="6" t="inlineStr">
        <is>
          <t>Google Workspace</t>
        </is>
      </c>
      <c r="B9" s="8" t="inlineStr">
        <is>
          <t>Maily a dokumenty</t>
        </is>
      </c>
      <c r="C9" s="8" t="inlineStr">
        <is>
          <t>Daniel</t>
        </is>
      </c>
      <c r="D9" s="24" t="n">
        <v>180</v>
      </c>
      <c r="E9" s="8" t="n">
        <v>90</v>
      </c>
      <c r="F9" s="12" t="inlineStr">
        <is>
          <t>aktívna</t>
        </is>
      </c>
      <c r="G9" s="21" t="inlineStr">
        <is>
          <t>ukážkové</t>
        </is>
      </c>
    </row>
    <row r="10">
      <c r="A10" s="6" t="inlineStr">
        <is>
          <t>Adobe CC</t>
        </is>
      </c>
      <c r="B10" s="8" t="inlineStr">
        <is>
          <t>Grafika a fotky</t>
        </is>
      </c>
      <c r="C10" s="8" t="inlineStr">
        <is>
          <t>Ema</t>
        </is>
      </c>
      <c r="D10" s="24" t="n">
        <v>120</v>
      </c>
      <c r="E10" s="8" t="n">
        <v>2</v>
      </c>
      <c r="F10" s="20" t="inlineStr">
        <is>
          <t>nevyužitá</t>
        </is>
      </c>
      <c r="G10" s="21" t="inlineStr">
        <is>
          <t>ukážkové</t>
        </is>
      </c>
    </row>
    <row r="11">
      <c r="A11" s="6" t="inlineStr">
        <is>
          <t>Figma</t>
        </is>
      </c>
      <c r="B11" s="8" t="inlineStr">
        <is>
          <t>Návrhy bannerov a UI</t>
        </is>
      </c>
      <c r="C11" s="8" t="inlineStr">
        <is>
          <t>Ema</t>
        </is>
      </c>
      <c r="D11" s="24" t="n">
        <v>90</v>
      </c>
      <c r="E11" s="8" t="n">
        <v>3</v>
      </c>
      <c r="F11" s="12" t="inlineStr">
        <is>
          <t>aktívna</t>
        </is>
      </c>
      <c r="G11" s="21" t="inlineStr">
        <is>
          <t>ukážkové</t>
        </is>
      </c>
    </row>
    <row r="12">
      <c r="A12" s="6" t="inlineStr">
        <is>
          <t>Slack</t>
        </is>
      </c>
      <c r="B12" s="8" t="inlineStr">
        <is>
          <t>Interná komunikácia</t>
        </is>
      </c>
      <c r="C12" s="8" t="inlineStr">
        <is>
          <t>Daniel</t>
        </is>
      </c>
      <c r="D12" s="24" t="n">
        <v>70</v>
      </c>
      <c r="E12" s="8" t="n">
        <v>12</v>
      </c>
      <c r="F12" s="12" t="inlineStr">
        <is>
          <t>aktívna</t>
        </is>
      </c>
      <c r="G12" s="21" t="inlineStr">
        <is>
          <t>ukážkové</t>
        </is>
      </c>
    </row>
    <row r="13">
      <c r="A13" s="6" t="inlineStr">
        <is>
          <t>Canva Pro</t>
        </is>
      </c>
      <c r="B13" s="8" t="inlineStr">
        <is>
          <t>Rýchla grafika CS</t>
        </is>
      </c>
      <c r="C13" s="8" t="inlineStr">
        <is>
          <t>Hajnalka</t>
        </is>
      </c>
      <c r="D13" s="24" t="n">
        <v>40</v>
      </c>
      <c r="E13" s="8" t="n">
        <v>2</v>
      </c>
      <c r="F13" s="20" t="inlineStr">
        <is>
          <t>nevyužitá</t>
        </is>
      </c>
      <c r="G13" s="21" t="inlineStr">
        <is>
          <t>ukážkové</t>
        </is>
      </c>
    </row>
    <row r="14">
      <c r="A14" s="15" t="inlineStr">
        <is>
          <t>Spolu / mes.</t>
        </is>
      </c>
      <c r="C14" s="23">
        <f>COUNTA(A6:A13)&amp;" aplikácií"</f>
        <v/>
      </c>
      <c r="D14" s="25">
        <f>SUM(D6:D13)</f>
        <v/>
      </c>
      <c r="E14" s="26">
        <f>SUM(E6:E13)</f>
        <v/>
      </c>
    </row>
    <row r="15">
      <c r="A15" s="15" t="inlineStr">
        <is>
          <t>Z toho nevyužité</t>
        </is>
      </c>
      <c r="B15" s="3" t="inlineStr">
        <is>
          <t>potenciál úspory podľa appky (Adobe CC + Canva Pro)</t>
        </is>
      </c>
      <c r="D15" s="10">
        <f>SUMIF(F6:F13,"nevyužitá",D6:D13)</f>
        <v/>
      </c>
      <c r="F15" s="27">
        <f>D15/D14</f>
        <v/>
      </c>
    </row>
    <row r="17">
      <c r="A17" s="4" t="inlineStr">
        <is>
          <t>Interné rozpočty a prevádzkové náklady</t>
        </is>
      </c>
    </row>
    <row r="18" ht="30" customHeight="1">
      <c r="A18" s="5" t="inlineStr">
        <is>
          <t>Položka</t>
        </is>
      </c>
      <c r="B18" s="5" t="inlineStr">
        <is>
          <t>Popis</t>
        </is>
      </c>
      <c r="C18" s="5" t="inlineStr">
        <is>
          <t>Vlastník</t>
        </is>
      </c>
      <c r="D18" s="5" t="inlineStr">
        <is>
          <t>Suma</t>
        </is>
      </c>
      <c r="E18" s="5" t="inlineStr">
        <is>
          <t>Obdobie</t>
        </is>
      </c>
      <c r="F18" s="5" t="inlineStr">
        <is>
          <t>Poznámka</t>
        </is>
      </c>
      <c r="G18" s="5" t="inlineStr">
        <is>
          <t>Overenie</t>
        </is>
      </c>
    </row>
    <row r="19">
      <c r="A19" s="6" t="inlineStr">
        <is>
          <t>AI budget — Marketing</t>
        </is>
      </c>
      <c r="B19" s="8" t="inlineStr">
        <is>
          <t>Mesačný strop na generovanie bannerov; provider default mock, reálne čerpanie 0 €</t>
        </is>
      </c>
      <c r="C19" s="8" t="inlineStr">
        <is>
          <t>Gabika</t>
        </is>
      </c>
      <c r="D19" s="24" t="n">
        <v>300</v>
      </c>
      <c r="E19" s="8" t="inlineStr">
        <is>
          <t>strop / mes.</t>
        </is>
      </c>
      <c r="F19" s="8" t="inlineStr">
        <is>
          <t>ukážkové čerpanie 62 % = 186 €</t>
        </is>
      </c>
      <c r="G19" s="21" t="inlineStr">
        <is>
          <t>ukážkové</t>
        </is>
      </c>
    </row>
    <row r="20">
      <c r="A20" s="6" t="inlineStr">
        <is>
          <t>Poštovné — Logistika</t>
        </is>
      </c>
      <c r="B20" s="8" t="inlineStr">
        <is>
          <t>Prevádzkový náklad dopravy z e-shop dát, júl 2026</t>
        </is>
      </c>
      <c r="C20" s="8" t="inlineStr">
        <is>
          <t>Daniel</t>
        </is>
      </c>
      <c r="D20" s="24" t="n">
        <v>11603</v>
      </c>
      <c r="E20" s="8" t="inlineStr">
        <is>
          <t>júl 2026</t>
        </is>
      </c>
      <c r="F20" s="8" t="inlineStr">
        <is>
          <t>z e-shop dát</t>
        </is>
      </c>
      <c r="G20" s="21" t="inlineStr">
        <is>
          <t>ukážkové</t>
        </is>
      </c>
    </row>
    <row r="22" ht="24" customHeight="1">
      <c r="A22" s="16" t="inlineStr">
        <is>
          <t>• Register SaaS aplikácií je z obrazovky HR → Aplikácie; README aj obrazovka označujú sumy ako čiastočne ukážkové.</t>
        </is>
      </c>
    </row>
    <row r="23" ht="24" customHeight="1">
      <c r="A23" s="16" t="inlineStr">
        <is>
          <t>• Adobe CC (120 €) a Canva Pro (40 €) sú v appke označené ako nevyužité → potenciál úspory 160 € / mes., t. j. ~13 % nákladov.</t>
        </is>
      </c>
    </row>
    <row r="24" ht="24" customHeight="1">
      <c r="A24" s="16" t="inlineStr">
        <is>
          <t>• Vlastné Aura appky nemajú licenčný náklad — bežia na vlastnom hardware v Dockeri.</t>
        </is>
      </c>
    </row>
  </sheetData>
  <mergeCells count="4">
    <mergeCell ref="A24:G24"/>
    <mergeCell ref="A2:G2"/>
    <mergeCell ref="A22:G22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3797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2" customWidth="1" min="3" max="3"/>
    <col width="13" customWidth="1" min="4" max="4"/>
    <col width="18" customWidth="1" min="5" max="5"/>
    <col width="52" customWidth="1" min="6" max="6"/>
    <col width="26" customWidth="1" min="7" max="7"/>
  </cols>
  <sheetData>
    <row r="1" ht="22" customHeight="1">
      <c r="A1" s="22" t="inlineStr">
        <is>
          <t>Riziká a otvorené body</t>
        </is>
      </c>
    </row>
    <row r="2" ht="26" customHeight="1">
      <c r="A2" s="16" t="inlineStr">
        <is>
          <t>Vychádzajú z reconu reálnych aplikácií (Hades pamäť) — v tomto repe ich nevidno, preto sú vedené ako rekonštruované. Zoradené od najzávažnejších.</t>
        </is>
      </c>
    </row>
    <row r="4" ht="30" customHeight="1">
      <c r="A4" s="5" t="inlineStr">
        <is>
          <t>Modul</t>
        </is>
      </c>
      <c r="B4" s="5" t="inlineStr">
        <is>
          <t>Riziko / otvorený bod</t>
        </is>
      </c>
      <c r="C4" s="5" t="inlineStr">
        <is>
          <t>Dopad</t>
        </is>
      </c>
      <c r="D4" s="5" t="inlineStr">
        <is>
          <t>Závažnosť</t>
        </is>
      </c>
      <c r="E4" s="5" t="inlineStr">
        <is>
          <t>Stav</t>
        </is>
      </c>
      <c r="F4" s="5" t="inlineStr">
        <is>
          <t>Kontext a zmiernenie</t>
        </is>
      </c>
      <c r="G4" s="5" t="inlineStr">
        <is>
          <t>Zdroj</t>
        </is>
      </c>
    </row>
    <row r="5">
      <c r="A5" s="6" t="inlineStr">
        <is>
          <t>Logistika</t>
        </is>
      </c>
      <c r="B5" s="8" t="inlineStr">
        <is>
          <t>Fallback ADMIN_PASSWORD || "admin123" na appke publikovanej na 0.0.0.0:3020</t>
        </is>
      </c>
      <c r="C5" s="8" t="inlineStr">
        <is>
          <t>Ktokoľvek v sieti sa dostane do evidencie zásielok a reklamácií.</t>
        </is>
      </c>
      <c r="D5" s="14" t="inlineStr">
        <is>
          <t>vysoké</t>
        </is>
      </c>
      <c r="E5" s="8" t="inlineStr">
        <is>
          <t>otvorené</t>
        </is>
      </c>
      <c r="F5" s="8" t="inlineStr">
        <is>
          <t>KPI to už odstránil commitom 6169eb0 a pridal fail-closed bootcheck — rovnaký postup treba zopakovať tu.</t>
        </is>
      </c>
      <c r="G5" s="11" t="inlineStr">
        <is>
          <t>Hades · recon 3. 8. 2026</t>
        </is>
      </c>
    </row>
    <row r="6">
      <c r="A6" s="6" t="inlineStr">
        <is>
          <t>Marketing</t>
        </is>
      </c>
      <c r="B6" s="8" t="inlineStr">
        <is>
          <t>Produkcia sperky-ai sa nestavia z main</t>
        </is>
      </c>
      <c r="C6" s="8" t="inlineStr">
        <is>
          <t>Kto spustí docker compose -f docker-compose.prod.yml up -d --build, prepne live dizajn zo zlatej na teal bez toho, aby sa dotkol jediného súboru — vyzerá to ako rutinný restart.</t>
        </is>
      </c>
      <c r="D6" s="14" t="inlineStr">
        <is>
          <t>vysoké</t>
        </is>
      </c>
      <c r="E6" s="8" t="inlineStr">
        <is>
          <t>otvorené</t>
        </is>
      </c>
      <c r="F6" s="8" t="inlineStr">
        <is>
          <t>Poistka existuje: image aura-web:gold-c6f4061 + záloha DB aura_marketing_pre-teal-deploy_20260730.sql.</t>
        </is>
      </c>
      <c r="G6" s="11" t="inlineStr">
        <is>
          <t>Hades · Aura redizajn</t>
        </is>
      </c>
    </row>
    <row r="7">
      <c r="A7" s="6" t="inlineStr">
        <is>
          <t>Tržby</t>
        </is>
      </c>
      <c r="B7" s="8" t="inlineStr">
        <is>
          <t>Appka neexistuje — modul je len statický HTML report</t>
        </is>
      </c>
      <c r="C7" s="8" t="inlineStr">
        <is>
          <t>Čísla sa nedajú aktualizovať bez ručného exportu; závisí na sperky-ai /api/orders/export, ktorý vznikne až s fázou F6.</t>
        </is>
      </c>
      <c r="D7" s="14" t="inlineStr">
        <is>
          <t>vysoké</t>
        </is>
      </c>
      <c r="E7" s="8" t="inlineStr">
        <is>
          <t>blokuje</t>
        </is>
      </c>
      <c r="F7" s="8" t="inlineStr">
        <is>
          <t>Plán: vanilla SPA port 3060, nightly sync 03:00.</t>
        </is>
      </c>
      <c r="G7" s="11" t="inlineStr">
        <is>
          <t>Hades · Aura Hub + plán F2–F6</t>
        </is>
      </c>
    </row>
    <row r="8">
      <c r="A8" s="6" t="inlineStr">
        <is>
          <t>Spoločné</t>
        </is>
      </c>
      <c r="B8" s="8" t="inlineStr">
        <is>
          <t>Aura Hub nemá vlastné prihlásenie (loopback-only + noindex)</t>
        </is>
      </c>
      <c r="C8" s="8" t="inlineStr">
        <is>
          <t>Pri tunelovaní cez ngrok by boli hlavičkové čísla všetkých appiek verejné bez hesla.</t>
        </is>
      </c>
      <c r="D8" s="14" t="inlineStr">
        <is>
          <t>vysoké</t>
        </is>
      </c>
      <c r="E8" s="8" t="inlineStr">
        <is>
          <t>otvorené</t>
        </is>
      </c>
      <c r="F8" s="8" t="inlineStr">
        <is>
          <t>Pred tunelovaním pridať auth. Plán gateway: Caddy forward_auth na hub + HMAC identity hlavičky.</t>
        </is>
      </c>
      <c r="G8" s="11" t="inlineStr">
        <is>
          <t>Hades · Aura Hub</t>
        </is>
      </c>
    </row>
    <row r="9">
      <c r="A9" s="6" t="inlineStr">
        <is>
          <t>Marketing</t>
        </is>
      </c>
      <c r="B9" s="8" t="inlineStr">
        <is>
          <t>A11Y: --on-accent #ffffff bez dark override</t>
        </is>
      </c>
      <c r="C9" s="8" t="inlineStr">
        <is>
          <t>Biela na #05bcc4 ≈ 2,2 : 1 v dark režime (sperky-ai, ads-hierarchy, mindmap-orient); 4 vanilla appky token nemajú vôbec a hardcodujú color:#fff.</t>
        </is>
      </c>
      <c r="D9" s="20" t="inlineStr">
        <is>
          <t>stredné</t>
        </is>
      </c>
      <c r="E9" s="8" t="inlineStr">
        <is>
          <t>otvorené</t>
        </is>
      </c>
      <c r="F9" s="8" t="inlineStr">
        <is>
          <t>Správne to majú len aura-prototype a aura-roadmap.</t>
        </is>
      </c>
      <c r="G9" s="11" t="inlineStr">
        <is>
          <t>Hades · Aura redizajn</t>
        </is>
      </c>
    </row>
    <row r="10">
      <c r="A10" s="6" t="inlineStr">
        <is>
          <t>Marketing</t>
        </is>
      </c>
      <c r="B10" s="8" t="inlineStr">
        <is>
          <t>sperky-ai: 0 UI i18n na ~233 000 riadkoch, 0 render testov na 52 komponentov, 5 760 inline style={{}}</t>
        </is>
      </c>
      <c r="C10" s="8" t="inlineStr">
        <is>
          <t>Appku nie je možné prefarbiť zmenou tokenov ani preložiť bez samostatného projektu (odhad 3–5 M tokenov).</t>
        </is>
      </c>
      <c r="D10" s="20" t="inlineStr">
        <is>
          <t>stredné</t>
        </is>
      </c>
      <c r="E10" s="8" t="inlineStr">
        <is>
          <t>otvorené</t>
        </is>
      </c>
      <c r="F10" s="8" t="inlineStr">
        <is>
          <t>Vizuál je v JSX s hardcoded hodnotami — 5 760 inline style vs 3 829 className.</t>
        </is>
      </c>
      <c r="G10" s="11" t="inlineStr">
        <is>
          <t>Hades · recon 3. 8. 2026</t>
        </is>
      </c>
    </row>
    <row r="11">
      <c r="A11" s="6" t="inlineStr">
        <is>
          <t>KPI</t>
        </is>
      </c>
      <c r="B11" s="8" t="inlineStr">
        <is>
          <t>Otvorené body po MVP: zmeniť ADMIN_PASSWORD, chýba read-only DB user kpi_ro, chýba year_refs UI</t>
        </is>
      </c>
      <c r="C11" s="8" t="inlineStr">
        <is>
          <t>Bez kpi_ro sa integrácie Logistika + Marketing robia ručne; bez year_refs sa YoY tržba a Import tolerancia nedopočítajú.</t>
        </is>
      </c>
      <c r="D11" s="20" t="inlineStr">
        <is>
          <t>stredné</t>
        </is>
      </c>
      <c r="E11" s="8" t="inlineStr">
        <is>
          <t>otvorené</t>
        </is>
      </c>
      <c r="F11" s="8" t="inlineStr">
        <is>
          <t>Plus exceljs padá na zakázaných znakoch v názvoch hárkov.</t>
        </is>
      </c>
      <c r="G11" s="11" t="inlineStr">
        <is>
          <t>Hades · Aura KPI</t>
        </is>
      </c>
    </row>
    <row r="12">
      <c r="A12" s="6" t="inlineStr">
        <is>
          <t>Roadmap</t>
        </is>
      </c>
      <c r="B12" s="8" t="inlineStr">
        <is>
          <t>Chýba endpoint /api/summary pre Aura Hub</t>
        </is>
      </c>
      <c r="C12" s="8" t="inlineStr">
        <is>
          <t>Karta Roadmap na rozcestníku nemá živé dáta — hlási dôvod namiesto čísla.</t>
        </is>
      </c>
      <c r="D12" s="20" t="inlineStr">
        <is>
          <t>stredné</t>
        </is>
      </c>
      <c r="E12" s="8" t="inlineStr">
        <is>
          <t>otvorené</t>
        </is>
      </c>
      <c r="F12" s="8" t="inlineStr">
        <is>
          <t>Rozpracované necommitnuté zmeny zostali na branchi feat/suite-visuals (5 súborov vrátane env.ts a rateLimit.ts) — agenti spadli na session limit.</t>
        </is>
      </c>
      <c r="G12" s="11" t="inlineStr">
        <is>
          <t>Hades · Aura Hub</t>
        </is>
      </c>
    </row>
    <row r="13">
      <c r="A13" s="6" t="inlineStr">
        <is>
          <t>HR</t>
        </is>
      </c>
      <c r="B13" s="8" t="inlineStr">
        <is>
          <t>Endpoint /api/summary neexistuje vôbec</t>
        </is>
      </c>
      <c r="C13" s="8" t="inlineStr">
        <is>
          <t>Modul HR na rozcestníku nikdy nedá živé číslo.</t>
        </is>
      </c>
      <c r="D13" s="20" t="inlineStr">
        <is>
          <t>stredné</t>
        </is>
      </c>
      <c r="E13" s="8" t="inlineStr">
        <is>
          <t>otvorené</t>
        </is>
      </c>
      <c r="F13" s="8" t="inlineStr">
        <is>
          <t>Zároveň appka nemá v pamäti zaznamenaný port ani git repo.</t>
        </is>
      </c>
      <c r="G13" s="11" t="inlineStr">
        <is>
          <t>Hades · Aura Hub</t>
        </is>
      </c>
    </row>
    <row r="14">
      <c r="A14" s="6" t="inlineStr">
        <is>
          <t>Tržby</t>
        </is>
      </c>
      <c r="B14" s="8" t="inlineStr">
        <is>
          <t>Nesúlad rozhodnutia a mockupu: zisk a marža</t>
        </is>
      </c>
      <c r="C14" s="8" t="inlineStr">
        <is>
          <t>Reálna appka ich má VYNECHAŤ (nie sú nákupné ceny), mockup ich zobrazuje (zisk 126 541 €, marža 66,1 %).</t>
        </is>
      </c>
      <c r="D14" s="20" t="inlineStr">
        <is>
          <t>stredné</t>
        </is>
      </c>
      <c r="E14" s="8" t="inlineStr">
        <is>
          <t>na rozhodnutie</t>
        </is>
      </c>
      <c r="F14" s="8" t="inlineStr">
        <is>
          <t>Ak sa čísla majú zachovať, treba doplniť nákupné ceny do zdroja dát.</t>
        </is>
      </c>
      <c r="G14" s="11" t="inlineStr">
        <is>
          <t>Hades · plán F2–F6</t>
        </is>
      </c>
    </row>
    <row r="15">
      <c r="A15" s="6" t="inlineStr">
        <is>
          <t>Logistika</t>
        </is>
      </c>
      <c r="B15" s="8" t="inlineStr">
        <is>
          <t>0 testov a do 3. 8. 2026 žiadne verziovanie</t>
        </is>
      </c>
      <c r="C15" s="8" t="inlineStr">
        <is>
          <t>Zmeny sa nedali vrátiť ani auditovať; regresie nikto nezachytí.</t>
        </is>
      </c>
      <c r="D15" s="20" t="inlineStr">
        <is>
          <t>stredné</t>
        </is>
      </c>
      <c r="E15" s="8" t="inlineStr">
        <is>
          <t>čiastočne vyriešené</t>
        </is>
      </c>
      <c r="F15" s="8" t="inlineStr">
        <is>
          <t>Baseline commit 41b7165 už existuje, testy stále chýbajú.</t>
        </is>
      </c>
      <c r="G15" s="11" t="inlineStr">
        <is>
          <t>Hades · recon 3. 8. 2026</t>
        </is>
      </c>
    </row>
    <row r="16">
      <c r="A16" s="6" t="inlineStr">
        <is>
          <t>Spoločné</t>
        </is>
      </c>
      <c r="B16" s="8" t="inlineStr">
        <is>
          <t>Vetva A (vanilla SPA) nemá CSRF, rate-limit, lockfile ani testy</t>
        </is>
      </c>
      <c r="C16" s="8" t="inlineStr">
        <is>
          <t>Štyri appky rodiny (HR, Logistika, KPI, Banner Studio) zdieľajú tento základ vrátane fallback hesiel v kóde.</t>
        </is>
      </c>
      <c r="D16" s="20" t="inlineStr">
        <is>
          <t>stredné</t>
        </is>
      </c>
      <c r="E16" s="8" t="inlineStr">
        <is>
          <t>otvorené</t>
        </is>
      </c>
      <c r="F16" s="8" t="inlineStr">
        <is>
          <t>Pravidlo pre nové appky: stavaj na vetve B (sperky-ai / aura-roadmap) — bezpečnostný a testovací základ sa dodatočne dopĺňa drahšie.</t>
        </is>
      </c>
      <c r="G16" s="11" t="inlineStr">
        <is>
          <t>Hades · aura-app family</t>
        </is>
      </c>
    </row>
    <row r="17">
      <c r="A17" s="6" t="inlineStr">
        <is>
          <t>Marketing</t>
        </is>
      </c>
      <c r="B17" s="8" t="inlineStr">
        <is>
          <t>Banner Studio bez GitHub remote a so zdieľaným prihlasovacím heslom</t>
        </is>
      </c>
      <c r="C17" s="8" t="inlineStr">
        <is>
          <t>Kód existuje len lokálne; prístup nie je menný, nedá sa odobrať jednému človeku.</t>
        </is>
      </c>
      <c r="D17" s="20" t="inlineStr">
        <is>
          <t>stredné</t>
        </is>
      </c>
      <c r="E17" s="8" t="inlineStr">
        <is>
          <t>otvorené</t>
        </is>
      </c>
      <c r="F17" s="8" t="inlineStr">
        <is>
          <t>gh CLI nie je v prostredí nainštalované.</t>
        </is>
      </c>
      <c r="G17" s="11" t="inlineStr">
        <is>
          <t>Hades · Banner Studio</t>
        </is>
      </c>
    </row>
    <row r="18">
      <c r="A18" s="6" t="inlineStr">
        <is>
          <t>Roadmap</t>
        </is>
      </c>
      <c r="B18" s="8" t="inlineStr">
        <is>
          <t>Bez GitHub remote; compose zakazuje publikovať DB port</t>
        </is>
      </c>
      <c r="C18" s="8" t="inlineStr">
        <is>
          <t>Jediné nesplnené akceptačné kritérium portu. Next dev nedosiahne DB → appka nemá CSS iterační loop, každá vizuálna zmena ide cez rebuild image.</t>
        </is>
      </c>
      <c r="D18" s="21" t="inlineStr">
        <is>
          <t>nízke</t>
        </is>
      </c>
      <c r="E18" s="8" t="inlineStr">
        <is>
          <t>otvorené</t>
        </is>
      </c>
      <c r="F18" s="8" t="inlineStr">
        <is>
          <t>Chýba len git remote add + push.</t>
        </is>
      </c>
      <c r="G18" s="11" t="inlineStr">
        <is>
          <t>Hades · Aura Roadmap</t>
        </is>
      </c>
    </row>
    <row r="19">
      <c r="A19" s="6" t="inlineStr">
        <is>
          <t>Spoločné</t>
        </is>
      </c>
      <c r="B19" s="8" t="inlineStr">
        <is>
          <t>Mockup: rozšírenia I1–I3 (55 % JS) sú post-render DOM patchery</t>
        </is>
      </c>
      <c r="C19" s="8" t="inlineStr">
        <is>
          <t>window.POST + MutationObserver sa do Next appiek preniesť nedajú — konektor, import, report a chat treba prepísať na komponenty.</t>
        </is>
      </c>
      <c r="D19" s="20" t="inlineStr">
        <is>
          <t>stredné</t>
        </is>
      </c>
      <c r="E19" s="8" t="inlineStr">
        <is>
          <t>na rozhodnutie</t>
        </is>
      </c>
      <c r="F19" s="8" t="inlineStr">
        <is>
          <t>Mockup má 706 r. CSS + 3 033 r. JS, z toho 1 290 r. fixtures na zahodenie.</t>
        </is>
      </c>
      <c r="G19" s="11" t="inlineStr">
        <is>
          <t>Hades · recon 3. 8. 2026</t>
        </is>
      </c>
    </row>
    <row r="20">
      <c r="A20" s="6" t="inlineStr">
        <is>
          <t>Spoločné</t>
        </is>
      </c>
      <c r="B20" s="8" t="inlineStr">
        <is>
          <t>Repo Aura-ai nemá CI workflow</t>
        </is>
      </c>
      <c r="C20" s="8" t="inlineStr">
        <is>
          <t>Nič nekontroluje HTML ani screenshot pipeline pri push.</t>
        </is>
      </c>
      <c r="D20" s="21" t="inlineStr">
        <is>
          <t>nízke</t>
        </is>
      </c>
      <c r="E20" s="8" t="inlineStr">
        <is>
          <t>otvorené</t>
        </is>
      </c>
      <c r="F20" s="8" t="inlineStr">
        <is>
          <t>Verifikácia beží len ručne cez apps/build/shoot.mjs.</t>
        </is>
      </c>
      <c r="G20" s="11" t="inlineStr">
        <is>
          <t>Hades · hub náhľad</t>
        </is>
      </c>
    </row>
    <row r="22">
      <c r="A22" s="15" t="inlineStr">
        <is>
          <t>Spolu</t>
        </is>
      </c>
      <c r="B22" s="23">
        <f>COUNTA(B5:B20)&amp;" rizík"</f>
        <v/>
      </c>
      <c r="D22" s="23">
        <f>COUNTIF(D5:D20,"vysoké")&amp;" vysokých"</f>
        <v/>
      </c>
    </row>
  </sheetData>
  <mergeCells count="1"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2026-08-04T17:18:48Z</dcterms:created>
  <dcterms:modified xsi:type="dcterms:W3CDTF">2026-08-04T17:18:49Z</dcterms:modified>
</cp:coreProperties>
</file>